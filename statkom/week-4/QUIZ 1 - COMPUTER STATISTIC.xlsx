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encahyo/khen/MyCampus-Jobsheet/statkom/week-4/"/>
    </mc:Choice>
  </mc:AlternateContent>
  <xr:revisionPtr revIDLastSave="0" documentId="13_ncr:1_{DD08F495-727D-964A-8C82-D79AFE9DEF58}" xr6:coauthVersionLast="47" xr6:coauthVersionMax="47" xr10:uidLastSave="{00000000-0000-0000-0000-000000000000}"/>
  <bookViews>
    <workbookView xWindow="0" yWindow="0" windowWidth="28800" windowHeight="18000" xr2:uid="{11096FDA-0E7A-9344-AC79-5AAFCE7FF4B8}"/>
  </bookViews>
  <sheets>
    <sheet name="Sheet1" sheetId="1" r:id="rId1"/>
  </sheets>
  <definedNames>
    <definedName name="_xlchart.v1.0" hidden="1">Sheet1!$B$4:$B$159</definedName>
    <definedName name="_xlchart.v1.1" hidden="1">Sheet1!$C$4:$C$159</definedName>
    <definedName name="_xlchart.v1.2" hidden="1">Sheet1!$B$4:$B$159</definedName>
    <definedName name="_xlchart.v1.3" hidden="1">Sheet1!$C$4:$C$159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L65" i="1"/>
  <c r="L70" i="1" s="1"/>
  <c r="L64" i="1"/>
  <c r="L69" i="1" s="1"/>
  <c r="L59" i="1"/>
  <c r="L60" i="1"/>
  <c r="L54" i="1"/>
  <c r="L74" i="1" s="1"/>
  <c r="L55" i="1"/>
  <c r="L50" i="1"/>
  <c r="L49" i="1"/>
  <c r="L45" i="1"/>
  <c r="L44" i="1"/>
  <c r="L40" i="1"/>
  <c r="L39" i="1"/>
  <c r="O32" i="1"/>
  <c r="O31" i="1"/>
  <c r="O30" i="1"/>
  <c r="O29" i="1"/>
  <c r="O28" i="1"/>
  <c r="O27" i="1"/>
  <c r="O26" i="1"/>
  <c r="L26" i="1"/>
  <c r="L32" i="1"/>
  <c r="L31" i="1"/>
  <c r="L30" i="1"/>
  <c r="L29" i="1"/>
  <c r="L28" i="1"/>
  <c r="L27" i="1"/>
  <c r="L22" i="1"/>
  <c r="L21" i="1"/>
  <c r="L20" i="1"/>
  <c r="L19" i="1"/>
  <c r="L18" i="1"/>
  <c r="L17" i="1"/>
  <c r="L16" i="1"/>
  <c r="L7" i="1"/>
  <c r="L8" i="1"/>
  <c r="L9" i="1"/>
  <c r="L10" i="1"/>
  <c r="L11" i="1"/>
  <c r="L12" i="1"/>
  <c r="L6" i="1"/>
  <c r="L77" i="1" l="1"/>
  <c r="L75" i="1"/>
  <c r="J5" i="1" s="1"/>
  <c r="L78" i="1"/>
  <c r="J8" i="1" s="1"/>
  <c r="J6" i="1" l="1"/>
  <c r="J7" i="1"/>
  <c r="J4" i="1"/>
</calcChain>
</file>

<file path=xl/sharedStrings.xml><?xml version="1.0" encoding="utf-8"?>
<sst xmlns="http://schemas.openxmlformats.org/spreadsheetml/2006/main" count="227" uniqueCount="191">
  <si>
    <t>DATASET WORLD HAPPINESS REPORT</t>
  </si>
  <si>
    <t>Overall rank</t>
  </si>
  <si>
    <t>Country or region</t>
  </si>
  <si>
    <t>Score</t>
  </si>
  <si>
    <t>GDP per capita</t>
  </si>
  <si>
    <t>Social support</t>
  </si>
  <si>
    <t>Healthy life expectancy</t>
  </si>
  <si>
    <t>Freedom to make life choices</t>
  </si>
  <si>
    <t>Generosity</t>
  </si>
  <si>
    <t>Perceptions of corruption</t>
  </si>
  <si>
    <t>Finland</t>
  </si>
  <si>
    <t>Denmark</t>
  </si>
  <si>
    <t>Norway</t>
  </si>
  <si>
    <t>Iceland</t>
  </si>
  <si>
    <t>Netherlands</t>
  </si>
  <si>
    <t>Switzerland</t>
  </si>
  <si>
    <t>Sweden</t>
  </si>
  <si>
    <t>New Zealand</t>
  </si>
  <si>
    <t>Canada</t>
  </si>
  <si>
    <t>Austria</t>
  </si>
  <si>
    <t>Australia</t>
  </si>
  <si>
    <t>Costa Rica</t>
  </si>
  <si>
    <t>Israel</t>
  </si>
  <si>
    <t>Luxembourg</t>
  </si>
  <si>
    <t>United Kingdom</t>
  </si>
  <si>
    <t>Ireland</t>
  </si>
  <si>
    <t>Germany</t>
  </si>
  <si>
    <t>Belgium</t>
  </si>
  <si>
    <t>United States</t>
  </si>
  <si>
    <t>Czech Republic</t>
  </si>
  <si>
    <t>United Arab Emirates</t>
  </si>
  <si>
    <t>Malta</t>
  </si>
  <si>
    <t>Mexico</t>
  </si>
  <si>
    <t>France</t>
  </si>
  <si>
    <t>Taiwan</t>
  </si>
  <si>
    <t>Chile</t>
  </si>
  <si>
    <t>Guatemala</t>
  </si>
  <si>
    <t>Saudi Arabia</t>
  </si>
  <si>
    <t>Qatar</t>
  </si>
  <si>
    <t>Spain</t>
  </si>
  <si>
    <t>Panama</t>
  </si>
  <si>
    <t>Brazil</t>
  </si>
  <si>
    <t>Uruguay</t>
  </si>
  <si>
    <t>Singapore</t>
  </si>
  <si>
    <t>El Salvador</t>
  </si>
  <si>
    <t>Italy</t>
  </si>
  <si>
    <t>Bahrain</t>
  </si>
  <si>
    <t>Slovakia</t>
  </si>
  <si>
    <t>Trinidad &amp; Tobago</t>
  </si>
  <si>
    <t>Poland</t>
  </si>
  <si>
    <t>Uzbekistan</t>
  </si>
  <si>
    <t>Lithuania</t>
  </si>
  <si>
    <t>Colombia</t>
  </si>
  <si>
    <t>Slovenia</t>
  </si>
  <si>
    <t>Nicaragua</t>
  </si>
  <si>
    <t>Kosovo</t>
  </si>
  <si>
    <t>Argentina</t>
  </si>
  <si>
    <t>Romania</t>
  </si>
  <si>
    <t>Cyprus</t>
  </si>
  <si>
    <t>Ecuador</t>
  </si>
  <si>
    <t>Kuwait</t>
  </si>
  <si>
    <t>Thailand</t>
  </si>
  <si>
    <t>Latvia</t>
  </si>
  <si>
    <t>South Korea</t>
  </si>
  <si>
    <t>Estonia</t>
  </si>
  <si>
    <t>Jamaica</t>
  </si>
  <si>
    <t>Mauritius</t>
  </si>
  <si>
    <t>Japan</t>
  </si>
  <si>
    <t>Honduras</t>
  </si>
  <si>
    <t>Kazakhstan</t>
  </si>
  <si>
    <t>Bolivia</t>
  </si>
  <si>
    <t>Hungary</t>
  </si>
  <si>
    <t>Paraguay</t>
  </si>
  <si>
    <t>Northern Cyprus</t>
  </si>
  <si>
    <t>Peru</t>
  </si>
  <si>
    <t>Portugal</t>
  </si>
  <si>
    <t>Pakistan</t>
  </si>
  <si>
    <t>Russia</t>
  </si>
  <si>
    <t>Philippines</t>
  </si>
  <si>
    <t>Serbia</t>
  </si>
  <si>
    <t>Moldova</t>
  </si>
  <si>
    <t>Libya</t>
  </si>
  <si>
    <t>Montenegro</t>
  </si>
  <si>
    <t>Tajikistan</t>
  </si>
  <si>
    <t>Croatia</t>
  </si>
  <si>
    <t>Hong Kong</t>
  </si>
  <si>
    <t>Dominican Republic</t>
  </si>
  <si>
    <t>Bosnia and Herzegovina</t>
  </si>
  <si>
    <t>Turkey</t>
  </si>
  <si>
    <t>Malaysia</t>
  </si>
  <si>
    <t>Belarus</t>
  </si>
  <si>
    <t>Greece</t>
  </si>
  <si>
    <t>Mongolia</t>
  </si>
  <si>
    <t>North Macedonia</t>
  </si>
  <si>
    <t>Nigeria</t>
  </si>
  <si>
    <t>Kyrgyzstan</t>
  </si>
  <si>
    <t>Turkmenistan</t>
  </si>
  <si>
    <t>Algeria</t>
  </si>
  <si>
    <t>Morocco</t>
  </si>
  <si>
    <t>Azerbaijan</t>
  </si>
  <si>
    <t>Lebanon</t>
  </si>
  <si>
    <t>Indonesia</t>
  </si>
  <si>
    <t>China</t>
  </si>
  <si>
    <t>Vietnam</t>
  </si>
  <si>
    <t>Bhutan</t>
  </si>
  <si>
    <t>Cameroon</t>
  </si>
  <si>
    <t>Bulgaria</t>
  </si>
  <si>
    <t>Ghana</t>
  </si>
  <si>
    <t>Ivory Coast</t>
  </si>
  <si>
    <t>Nepal</t>
  </si>
  <si>
    <t>Jordan</t>
  </si>
  <si>
    <t>Benin</t>
  </si>
  <si>
    <t>Congo (Brazzaville)</t>
  </si>
  <si>
    <t>Gabon</t>
  </si>
  <si>
    <t>Laos</t>
  </si>
  <si>
    <t>South Africa</t>
  </si>
  <si>
    <t>Albania</t>
  </si>
  <si>
    <t>Venezuela</t>
  </si>
  <si>
    <t>Cambodia</t>
  </si>
  <si>
    <t>Palestinian Territories</t>
  </si>
  <si>
    <t>Senegal</t>
  </si>
  <si>
    <t>Somalia</t>
  </si>
  <si>
    <t>Namibia</t>
  </si>
  <si>
    <t>Niger</t>
  </si>
  <si>
    <t>Burkina Faso</t>
  </si>
  <si>
    <t>Armenia</t>
  </si>
  <si>
    <t>Iran</t>
  </si>
  <si>
    <t>Guinea</t>
  </si>
  <si>
    <t>Georgia</t>
  </si>
  <si>
    <t>Gambia</t>
  </si>
  <si>
    <t>Kenya</t>
  </si>
  <si>
    <t>Mauritania</t>
  </si>
  <si>
    <t>Mozambique</t>
  </si>
  <si>
    <t>Tunisia</t>
  </si>
  <si>
    <t>Bangladesh</t>
  </si>
  <si>
    <t>Iraq</t>
  </si>
  <si>
    <t>Congo (Kinshasa)</t>
  </si>
  <si>
    <t>Mali</t>
  </si>
  <si>
    <t>Sierra Leone</t>
  </si>
  <si>
    <t>Sri Lanka</t>
  </si>
  <si>
    <t>Myanmar</t>
  </si>
  <si>
    <t>Chad</t>
  </si>
  <si>
    <t>Ukraine</t>
  </si>
  <si>
    <t>Ethiopia</t>
  </si>
  <si>
    <t>Swaziland</t>
  </si>
  <si>
    <t>Uganda</t>
  </si>
  <si>
    <t>Egypt</t>
  </si>
  <si>
    <t>Zambia</t>
  </si>
  <si>
    <t>Togo</t>
  </si>
  <si>
    <t>India</t>
  </si>
  <si>
    <t>Liberia</t>
  </si>
  <si>
    <t>Comoros</t>
  </si>
  <si>
    <t>Madagascar</t>
  </si>
  <si>
    <t>Lesotho</t>
  </si>
  <si>
    <t>Burundi</t>
  </si>
  <si>
    <t>Zimbabwe</t>
  </si>
  <si>
    <t>Haiti</t>
  </si>
  <si>
    <t>Botswana</t>
  </si>
  <si>
    <t>Syria</t>
  </si>
  <si>
    <t>Malawi</t>
  </si>
  <si>
    <t>Yemen</t>
  </si>
  <si>
    <t>Rwanda</t>
  </si>
  <si>
    <t>Tanzania</t>
  </si>
  <si>
    <t>Afghanistan</t>
  </si>
  <si>
    <t>Central African Republic</t>
  </si>
  <si>
    <t>South Sudan</t>
  </si>
  <si>
    <t>ANSWER QUESTION CENTRAL TENDENCY</t>
  </si>
  <si>
    <t>GDP per capita:</t>
  </si>
  <si>
    <t>Social support:</t>
  </si>
  <si>
    <t>Health life expectancy:</t>
  </si>
  <si>
    <t>Freedom to make life choices:</t>
  </si>
  <si>
    <t>Generosity:</t>
  </si>
  <si>
    <t>Perceptions of corruption:</t>
  </si>
  <si>
    <t>Jumlah:</t>
  </si>
  <si>
    <t>ANSWER QUESTION VARIABILITY OF DATA</t>
  </si>
  <si>
    <t>Score:</t>
  </si>
  <si>
    <t>QUESTION 1 - RANGE</t>
  </si>
  <si>
    <t>QUESTION 1 - MODE</t>
  </si>
  <si>
    <t>QUESTION 1 - MEDIAN</t>
  </si>
  <si>
    <t>QUESTION 1 - MEAN</t>
  </si>
  <si>
    <t>QUESTION 1 - VARIANCE</t>
  </si>
  <si>
    <t>QUESTION 1 - STANDARD DEVIATION</t>
  </si>
  <si>
    <t>QUESTION 2 - Q1</t>
  </si>
  <si>
    <t>QUESTION 2 - Q2</t>
  </si>
  <si>
    <t>QUESTION 2 - Q3</t>
  </si>
  <si>
    <t>QUESTION 2 - IQR</t>
  </si>
  <si>
    <t>QUESTION 4 - OUTLIER</t>
  </si>
  <si>
    <t>Lower Limit:</t>
  </si>
  <si>
    <t>Upper Limit:</t>
  </si>
  <si>
    <t>GENEROSITY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</si>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</sst>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rial"/>
      <family val="2"/>
    </font>
    <font>
      <b/>
      <sz val="14"/>
      <color theme="1"/>
      <name val="Aptos"/>
    </font>
    <font>
      <b/>
      <sz val="12"/>
      <color theme="1"/>
      <name val="Aptos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1" applyNumberFormat="0" applyFont="0" applyAlignment="0" applyProtection="0"/>
    <xf numFmtId="0" fontId="1" fillId="5" borderId="0" applyNumberFormat="0" applyBorder="0" applyAlignment="0" applyProtection="0"/>
  </cellStyleXfs>
  <cellXfs count="21">
    <xf numFmtId="0" fontId="0" fillId="0" borderId="0" xfId="0"/>
    <xf numFmtId="0" fontId="5" fillId="0" borderId="2" xfId="0" applyFont="1" applyBorder="1"/>
    <xf numFmtId="3" fontId="5" fillId="0" borderId="2" xfId="0" applyNumberFormat="1" applyFont="1" applyBorder="1"/>
    <xf numFmtId="0" fontId="4" fillId="0" borderId="2" xfId="0" applyFont="1" applyBorder="1"/>
    <xf numFmtId="0" fontId="0" fillId="0" borderId="2" xfId="0" applyBorder="1"/>
    <xf numFmtId="3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4" fillId="0" borderId="0" xfId="0" applyFont="1"/>
    <xf numFmtId="3" fontId="0" fillId="0" borderId="0" xfId="0" applyNumberFormat="1"/>
    <xf numFmtId="1" fontId="0" fillId="0" borderId="2" xfId="0" applyNumberFormat="1" applyBorder="1"/>
    <xf numFmtId="3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7" fillId="3" borderId="2" xfId="2" applyFont="1" applyBorder="1" applyAlignment="1">
      <alignment horizontal="center" vertical="center"/>
    </xf>
    <xf numFmtId="0" fontId="4" fillId="5" borderId="2" xfId="4" applyFont="1" applyBorder="1" applyAlignment="1">
      <alignment horizontal="center" vertical="center"/>
    </xf>
    <xf numFmtId="0" fontId="6" fillId="4" borderId="2" xfId="3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3" fontId="0" fillId="0" borderId="3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6" fillId="2" borderId="2" xfId="1" applyFont="1" applyBorder="1" applyAlignment="1">
      <alignment horizontal="center" vertical="center"/>
    </xf>
  </cellXfs>
  <cellStyles count="5">
    <cellStyle name="20% - Accent2" xfId="4" builtinId="34"/>
    <cellStyle name="Bad" xfId="2" builtinId="27"/>
    <cellStyle name="Good" xfId="1" builtinId="26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Happiest</a:t>
            </a:r>
            <a:r>
              <a:rPr lang="en-US" baseline="0"/>
              <a:t> Countries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4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C21-3148-9EB0-7BB8322370D9}"/>
              </c:ext>
            </c:extLst>
          </c:dPt>
          <c:dPt>
            <c:idx val="1"/>
            <c:bubble3D val="0"/>
            <c:spPr>
              <a:solidFill>
                <a:schemeClr val="accent1">
                  <a:shade val="5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C21-3148-9EB0-7BB8322370D9}"/>
              </c:ext>
            </c:extLst>
          </c:dPt>
          <c:dPt>
            <c:idx val="2"/>
            <c:bubble3D val="0"/>
            <c:spPr>
              <a:solidFill>
                <a:schemeClr val="accent1">
                  <a:shade val="6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C21-3148-9EB0-7BB8322370D9}"/>
              </c:ext>
            </c:extLst>
          </c:dPt>
          <c:dPt>
            <c:idx val="3"/>
            <c:bubble3D val="0"/>
            <c:spPr>
              <a:solidFill>
                <a:schemeClr val="accent1">
                  <a:shade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C21-3148-9EB0-7BB8322370D9}"/>
              </c:ext>
            </c:extLst>
          </c:dPt>
          <c:dPt>
            <c:idx val="4"/>
            <c:bubble3D val="0"/>
            <c:spPr>
              <a:solidFill>
                <a:schemeClr val="accent1">
                  <a:shade val="9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C21-3148-9EB0-7BB8322370D9}"/>
              </c:ext>
            </c:extLst>
          </c:dPt>
          <c:dPt>
            <c:idx val="5"/>
            <c:bubble3D val="0"/>
            <c:spPr>
              <a:solidFill>
                <a:schemeClr val="accent1">
                  <a:tint val="9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C21-3148-9EB0-7BB8322370D9}"/>
              </c:ext>
            </c:extLst>
          </c:dPt>
          <c:dPt>
            <c:idx val="6"/>
            <c:bubble3D val="0"/>
            <c:spPr>
              <a:solidFill>
                <a:schemeClr val="accent1">
                  <a:tint val="81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C21-3148-9EB0-7BB8322370D9}"/>
              </c:ext>
            </c:extLst>
          </c:dPt>
          <c:dPt>
            <c:idx val="7"/>
            <c:bubble3D val="0"/>
            <c:spPr>
              <a:solidFill>
                <a:schemeClr val="accent1">
                  <a:tint val="69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C21-3148-9EB0-7BB8322370D9}"/>
              </c:ext>
            </c:extLst>
          </c:dPt>
          <c:dPt>
            <c:idx val="8"/>
            <c:bubble3D val="0"/>
            <c:spPr>
              <a:solidFill>
                <a:schemeClr val="accent1">
                  <a:tint val="5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C21-3148-9EB0-7BB8322370D9}"/>
              </c:ext>
            </c:extLst>
          </c:dPt>
          <c:dPt>
            <c:idx val="9"/>
            <c:bubble3D val="0"/>
            <c:spPr>
              <a:solidFill>
                <a:schemeClr val="accent1">
                  <a:tint val="4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C21-3148-9EB0-7BB8322370D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Sheet1!$B$4:$B$13</c:f>
              <c:strCache>
                <c:ptCount val="10"/>
                <c:pt idx="0">
                  <c:v>Finland</c:v>
                </c:pt>
                <c:pt idx="1">
                  <c:v>Denmark</c:v>
                </c:pt>
                <c:pt idx="2">
                  <c:v>Norway</c:v>
                </c:pt>
                <c:pt idx="3">
                  <c:v>Iceland</c:v>
                </c:pt>
                <c:pt idx="4">
                  <c:v>Netherlands</c:v>
                </c:pt>
                <c:pt idx="5">
                  <c:v>Switzerland</c:v>
                </c:pt>
                <c:pt idx="6">
                  <c:v>Sweden</c:v>
                </c:pt>
                <c:pt idx="7">
                  <c:v>New Zealand</c:v>
                </c:pt>
                <c:pt idx="8">
                  <c:v>Canada</c:v>
                </c:pt>
                <c:pt idx="9">
                  <c:v>Austria</c:v>
                </c:pt>
              </c:strCache>
            </c:strRef>
          </c:cat>
          <c:val>
            <c:numRef>
              <c:f>Sheet1!$C$4:$C$13</c:f>
              <c:numCache>
                <c:formatCode>#,##0</c:formatCode>
                <c:ptCount val="10"/>
                <c:pt idx="0">
                  <c:v>7769</c:v>
                </c:pt>
                <c:pt idx="1">
                  <c:v>7600</c:v>
                </c:pt>
                <c:pt idx="2">
                  <c:v>7554</c:v>
                </c:pt>
                <c:pt idx="3">
                  <c:v>7494</c:v>
                </c:pt>
                <c:pt idx="4">
                  <c:v>7488</c:v>
                </c:pt>
                <c:pt idx="5">
                  <c:v>7480</c:v>
                </c:pt>
                <c:pt idx="6">
                  <c:v>7343</c:v>
                </c:pt>
                <c:pt idx="7">
                  <c:v>7307</c:v>
                </c:pt>
                <c:pt idx="8">
                  <c:v>7278</c:v>
                </c:pt>
                <c:pt idx="9">
                  <c:v>7246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8-3C4C-9B50-71EA1B1268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Happiness Scores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Happiness Scores Distribution</a:t>
          </a:r>
        </a:p>
      </cx:txPr>
    </cx:title>
    <cx:plotArea>
      <cx:plotAreaRegion>
        <cx:series layoutId="clusteredColumn" uniqueId="{EA906731-C9A4-7546-A9F0-6FA2430F6C3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54092</xdr:colOff>
      <xdr:row>4</xdr:row>
      <xdr:rowOff>115945</xdr:rowOff>
    </xdr:from>
    <xdr:to>
      <xdr:col>22</xdr:col>
      <xdr:colOff>510352</xdr:colOff>
      <xdr:row>18</xdr:row>
      <xdr:rowOff>60442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BF7A4F-A882-294F-4FD2-45E42FEF6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230481</xdr:colOff>
      <xdr:row>21</xdr:row>
      <xdr:rowOff>151224</xdr:rowOff>
    </xdr:from>
    <xdr:to>
      <xdr:col>21</xdr:col>
      <xdr:colOff>780815</xdr:colOff>
      <xdr:row>35</xdr:row>
      <xdr:rowOff>95721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B83A65B-1D23-B7A0-4D1C-A8C65968E7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891037" y="43492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97D9-D752-314C-959B-772FB2EDB76B}">
  <dimension ref="A1:O159"/>
  <sheetViews>
    <sheetView tabSelected="1" topLeftCell="M10" zoomScale="108" workbookViewId="0">
      <selection activeCell="T41" sqref="T41"/>
    </sheetView>
  </sheetViews>
  <sheetFormatPr baseColWidth="10" defaultRowHeight="16" x14ac:dyDescent="0.2"/>
  <cols>
    <col min="2" max="2" width="18.33203125" customWidth="1"/>
    <col min="4" max="4" width="18.83203125" customWidth="1"/>
    <col min="5" max="5" width="16.83203125" customWidth="1"/>
    <col min="6" max="6" width="21.5" customWidth="1"/>
    <col min="7" max="7" width="26" customWidth="1"/>
    <col min="8" max="8" width="16.33203125" customWidth="1"/>
    <col min="9" max="9" width="25.6640625" customWidth="1"/>
    <col min="10" max="10" width="25.83203125" customWidth="1"/>
    <col min="11" max="11" width="28.6640625" customWidth="1"/>
    <col min="18" max="18" width="20.33203125" customWidth="1"/>
    <col min="19" max="19" width="18" customWidth="1"/>
  </cols>
  <sheetData>
    <row r="1" spans="1:15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K1" s="14" t="s">
        <v>166</v>
      </c>
      <c r="L1" s="14"/>
      <c r="M1" s="14"/>
      <c r="N1" s="14"/>
      <c r="O1" s="14"/>
    </row>
    <row r="2" spans="1:15" x14ac:dyDescent="0.2">
      <c r="A2" s="20"/>
      <c r="B2" s="20"/>
      <c r="C2" s="20"/>
      <c r="D2" s="20"/>
      <c r="E2" s="20"/>
      <c r="F2" s="20"/>
      <c r="G2" s="20"/>
      <c r="H2" s="20"/>
      <c r="I2" s="20"/>
      <c r="K2" s="14"/>
      <c r="L2" s="14"/>
      <c r="M2" s="14"/>
      <c r="N2" s="14"/>
      <c r="O2" s="14"/>
    </row>
    <row r="3" spans="1:15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15" x14ac:dyDescent="0.2">
      <c r="A4" s="1">
        <v>1</v>
      </c>
      <c r="B4" s="1" t="s">
        <v>10</v>
      </c>
      <c r="C4" s="2">
        <v>7769</v>
      </c>
      <c r="D4" s="2">
        <v>1340</v>
      </c>
      <c r="E4" s="2">
        <v>1587</v>
      </c>
      <c r="F4" s="1">
        <v>986</v>
      </c>
      <c r="G4" s="1">
        <v>596</v>
      </c>
      <c r="H4" s="1">
        <v>153</v>
      </c>
      <c r="I4" s="1">
        <v>393</v>
      </c>
      <c r="J4" t="str">
        <f>IF(C4 &lt; L74, "Outlier Bawah", IF(C4 &gt; L75, "Outlier Atas", "Normal"))</f>
        <v>Normal</v>
      </c>
      <c r="K4" s="12" t="s">
        <v>179</v>
      </c>
      <c r="L4" s="12"/>
      <c r="M4" s="12"/>
      <c r="N4" s="12"/>
      <c r="O4" s="12"/>
    </row>
    <row r="5" spans="1:15" x14ac:dyDescent="0.2">
      <c r="A5" s="1">
        <v>2</v>
      </c>
      <c r="B5" s="1" t="s">
        <v>11</v>
      </c>
      <c r="C5" s="2">
        <v>7600</v>
      </c>
      <c r="D5" s="2">
        <v>1383</v>
      </c>
      <c r="E5" s="2">
        <v>1573</v>
      </c>
      <c r="F5" s="1">
        <v>996</v>
      </c>
      <c r="G5" s="1">
        <v>592</v>
      </c>
      <c r="H5" s="1">
        <v>252</v>
      </c>
      <c r="I5" s="1">
        <v>410</v>
      </c>
      <c r="J5" t="str">
        <f t="shared" ref="J5:J68" si="0">IF(C5 &lt; L75, "Outlier Bawah", IF(C5 &gt; L76, "Outlier Atas", "Normal"))</f>
        <v>Outlier Bawah</v>
      </c>
      <c r="K5" s="12"/>
      <c r="L5" s="12"/>
      <c r="M5" s="12"/>
      <c r="N5" s="12"/>
      <c r="O5" s="12"/>
    </row>
    <row r="6" spans="1:15" x14ac:dyDescent="0.2">
      <c r="A6" s="1">
        <v>3</v>
      </c>
      <c r="B6" s="1" t="s">
        <v>12</v>
      </c>
      <c r="C6" s="2">
        <v>7554</v>
      </c>
      <c r="D6" s="2">
        <v>1488</v>
      </c>
      <c r="E6" s="2">
        <v>1582</v>
      </c>
      <c r="F6" s="2">
        <v>1028</v>
      </c>
      <c r="G6" s="1">
        <v>603</v>
      </c>
      <c r="H6" s="1">
        <v>271</v>
      </c>
      <c r="I6" s="1">
        <v>341</v>
      </c>
      <c r="J6" t="str">
        <f t="shared" si="0"/>
        <v>Outlier Atas</v>
      </c>
      <c r="K6" s="3" t="s">
        <v>175</v>
      </c>
      <c r="L6" s="19">
        <f>SUM(C4:C159)/COUNTA(B4:B159)</f>
        <v>5407.0961538461543</v>
      </c>
      <c r="M6" s="17"/>
      <c r="N6" s="17"/>
      <c r="O6" s="18"/>
    </row>
    <row r="7" spans="1:15" x14ac:dyDescent="0.2">
      <c r="A7" s="1">
        <v>4</v>
      </c>
      <c r="B7" s="1" t="s">
        <v>13</v>
      </c>
      <c r="C7" s="2">
        <v>7494</v>
      </c>
      <c r="D7" s="2">
        <v>1380</v>
      </c>
      <c r="E7" s="2">
        <v>1624</v>
      </c>
      <c r="F7" s="2">
        <v>1026</v>
      </c>
      <c r="G7" s="1">
        <v>591</v>
      </c>
      <c r="H7" s="1">
        <v>354</v>
      </c>
      <c r="I7" s="1">
        <v>118</v>
      </c>
      <c r="J7" t="str">
        <f t="shared" si="0"/>
        <v>Outlier Atas</v>
      </c>
      <c r="K7" s="3" t="s">
        <v>167</v>
      </c>
      <c r="L7" s="19">
        <f>SUM(D4:D159)/COUNTA(B4:B159)</f>
        <v>905.14743589743591</v>
      </c>
      <c r="M7" s="17"/>
      <c r="N7" s="17"/>
      <c r="O7" s="18"/>
    </row>
    <row r="8" spans="1:15" x14ac:dyDescent="0.2">
      <c r="A8" s="1">
        <v>5</v>
      </c>
      <c r="B8" s="1" t="s">
        <v>14</v>
      </c>
      <c r="C8" s="2">
        <v>7488</v>
      </c>
      <c r="D8" s="2">
        <v>1396</v>
      </c>
      <c r="E8" s="2">
        <v>1522</v>
      </c>
      <c r="F8" s="1">
        <v>999</v>
      </c>
      <c r="G8" s="1">
        <v>557</v>
      </c>
      <c r="H8" s="1">
        <v>322</v>
      </c>
      <c r="I8" s="1">
        <v>298</v>
      </c>
      <c r="J8" t="str">
        <f t="shared" si="0"/>
        <v>Outlier Atas</v>
      </c>
      <c r="K8" s="3" t="s">
        <v>168</v>
      </c>
      <c r="L8" s="19">
        <f>SUM(E4:E159)/COUNTA(B4:B159)</f>
        <v>1208.8141025641025</v>
      </c>
      <c r="M8" s="17"/>
      <c r="N8" s="17"/>
      <c r="O8" s="18"/>
    </row>
    <row r="9" spans="1:15" x14ac:dyDescent="0.2">
      <c r="A9" s="1">
        <v>6</v>
      </c>
      <c r="B9" s="1" t="s">
        <v>15</v>
      </c>
      <c r="C9" s="2">
        <v>7480</v>
      </c>
      <c r="D9" s="2">
        <v>1452</v>
      </c>
      <c r="E9" s="2">
        <v>1526</v>
      </c>
      <c r="F9" s="2">
        <v>1052</v>
      </c>
      <c r="G9" s="1">
        <v>572</v>
      </c>
      <c r="H9" s="1">
        <v>263</v>
      </c>
      <c r="I9" s="1">
        <v>343</v>
      </c>
      <c r="J9" t="str">
        <f t="shared" si="0"/>
        <v>Outlier Atas</v>
      </c>
      <c r="K9" s="3" t="s">
        <v>169</v>
      </c>
      <c r="L9" s="19">
        <f>SUM(F4:F159)/COUNTA(B4:B159)</f>
        <v>725.24358974358972</v>
      </c>
      <c r="M9" s="17"/>
      <c r="N9" s="17"/>
      <c r="O9" s="18"/>
    </row>
    <row r="10" spans="1:15" x14ac:dyDescent="0.2">
      <c r="A10" s="1">
        <v>7</v>
      </c>
      <c r="B10" s="1" t="s">
        <v>16</v>
      </c>
      <c r="C10" s="2">
        <v>7343</v>
      </c>
      <c r="D10" s="2">
        <v>1387</v>
      </c>
      <c r="E10" s="2">
        <v>1487</v>
      </c>
      <c r="F10" s="2">
        <v>1009</v>
      </c>
      <c r="G10" s="1">
        <v>574</v>
      </c>
      <c r="H10" s="1">
        <v>267</v>
      </c>
      <c r="I10" s="1">
        <v>373</v>
      </c>
      <c r="J10" t="str">
        <f t="shared" si="0"/>
        <v>Outlier Atas</v>
      </c>
      <c r="K10" s="3" t="s">
        <v>170</v>
      </c>
      <c r="L10" s="19">
        <f>SUM(G4:G159)/COUNTA(B4:B159)</f>
        <v>392.57051282051282</v>
      </c>
      <c r="M10" s="17"/>
      <c r="N10" s="17"/>
      <c r="O10" s="18"/>
    </row>
    <row r="11" spans="1:15" x14ac:dyDescent="0.2">
      <c r="A11" s="1">
        <v>8</v>
      </c>
      <c r="B11" s="1" t="s">
        <v>17</v>
      </c>
      <c r="C11" s="2">
        <v>7307</v>
      </c>
      <c r="D11" s="2">
        <v>1303</v>
      </c>
      <c r="E11" s="2">
        <v>1557</v>
      </c>
      <c r="F11" s="2">
        <v>1026</v>
      </c>
      <c r="G11" s="1">
        <v>585</v>
      </c>
      <c r="H11" s="1">
        <v>330</v>
      </c>
      <c r="I11" s="1">
        <v>380</v>
      </c>
      <c r="J11" t="str">
        <f t="shared" si="0"/>
        <v>Outlier Atas</v>
      </c>
      <c r="K11" s="3" t="s">
        <v>171</v>
      </c>
      <c r="L11" s="19">
        <f>SUM(H4:H159)/COUNTA(B4:B159)</f>
        <v>184.84615384615384</v>
      </c>
      <c r="M11" s="17"/>
      <c r="N11" s="17"/>
      <c r="O11" s="18"/>
    </row>
    <row r="12" spans="1:15" x14ac:dyDescent="0.2">
      <c r="A12" s="1">
        <v>9</v>
      </c>
      <c r="B12" s="1" t="s">
        <v>18</v>
      </c>
      <c r="C12" s="2">
        <v>7278</v>
      </c>
      <c r="D12" s="2">
        <v>1365</v>
      </c>
      <c r="E12" s="2">
        <v>1505</v>
      </c>
      <c r="F12" s="2">
        <v>1039</v>
      </c>
      <c r="G12" s="1">
        <v>584</v>
      </c>
      <c r="H12" s="1">
        <v>285</v>
      </c>
      <c r="I12" s="1">
        <v>308</v>
      </c>
      <c r="J12" t="str">
        <f t="shared" si="0"/>
        <v>Outlier Atas</v>
      </c>
      <c r="K12" s="3" t="s">
        <v>172</v>
      </c>
      <c r="L12" s="19">
        <f>SUM(I4:I159)/COUNTA(B4:B159)</f>
        <v>110.6025641025641</v>
      </c>
      <c r="M12" s="17"/>
      <c r="N12" s="17"/>
      <c r="O12" s="18"/>
    </row>
    <row r="13" spans="1:15" x14ac:dyDescent="0.2">
      <c r="A13" s="1">
        <v>10</v>
      </c>
      <c r="B13" s="1" t="s">
        <v>19</v>
      </c>
      <c r="C13" s="2">
        <v>7246</v>
      </c>
      <c r="D13" s="2">
        <v>1376</v>
      </c>
      <c r="E13" s="2">
        <v>1475</v>
      </c>
      <c r="F13" s="2">
        <v>1016</v>
      </c>
      <c r="G13" s="1">
        <v>532</v>
      </c>
      <c r="H13" s="1">
        <v>244</v>
      </c>
      <c r="I13" s="1">
        <v>226</v>
      </c>
      <c r="J13" t="str">
        <f t="shared" si="0"/>
        <v>Outlier Atas</v>
      </c>
    </row>
    <row r="14" spans="1:15" x14ac:dyDescent="0.2">
      <c r="A14" s="1">
        <v>11</v>
      </c>
      <c r="B14" s="1" t="s">
        <v>20</v>
      </c>
      <c r="C14" s="2">
        <v>7228</v>
      </c>
      <c r="D14" s="2">
        <v>1372</v>
      </c>
      <c r="E14" s="2">
        <v>1548</v>
      </c>
      <c r="F14" s="2">
        <v>1036</v>
      </c>
      <c r="G14" s="1">
        <v>557</v>
      </c>
      <c r="H14" s="1">
        <v>332</v>
      </c>
      <c r="I14" s="1">
        <v>290</v>
      </c>
      <c r="J14" t="str">
        <f t="shared" si="0"/>
        <v>Outlier Atas</v>
      </c>
      <c r="K14" s="12" t="s">
        <v>178</v>
      </c>
      <c r="L14" s="12"/>
      <c r="M14" s="12"/>
      <c r="N14" s="12"/>
      <c r="O14" s="12"/>
    </row>
    <row r="15" spans="1:15" x14ac:dyDescent="0.2">
      <c r="A15" s="1">
        <v>12</v>
      </c>
      <c r="B15" s="1" t="s">
        <v>21</v>
      </c>
      <c r="C15" s="2">
        <v>7167</v>
      </c>
      <c r="D15" s="2">
        <v>1034</v>
      </c>
      <c r="E15" s="2">
        <v>1441</v>
      </c>
      <c r="F15" s="1">
        <v>963</v>
      </c>
      <c r="G15" s="1">
        <v>558</v>
      </c>
      <c r="H15" s="1">
        <v>144</v>
      </c>
      <c r="I15" s="1">
        <v>93</v>
      </c>
      <c r="J15" t="str">
        <f t="shared" si="0"/>
        <v>Outlier Atas</v>
      </c>
      <c r="K15" s="12"/>
      <c r="L15" s="12"/>
      <c r="M15" s="12"/>
      <c r="N15" s="12"/>
      <c r="O15" s="12"/>
    </row>
    <row r="16" spans="1:15" x14ac:dyDescent="0.2">
      <c r="A16" s="1">
        <v>13</v>
      </c>
      <c r="B16" s="1" t="s">
        <v>22</v>
      </c>
      <c r="C16" s="2">
        <v>7139</v>
      </c>
      <c r="D16" s="2">
        <v>1276</v>
      </c>
      <c r="E16" s="2">
        <v>1455</v>
      </c>
      <c r="F16" s="2">
        <v>1029</v>
      </c>
      <c r="G16" s="1">
        <v>371</v>
      </c>
      <c r="H16" s="1">
        <v>261</v>
      </c>
      <c r="I16" s="1">
        <v>82</v>
      </c>
      <c r="J16" t="str">
        <f t="shared" si="0"/>
        <v>Outlier Atas</v>
      </c>
      <c r="K16" s="3" t="s">
        <v>175</v>
      </c>
      <c r="L16" s="16">
        <f>MEDIAN(C4:C159)</f>
        <v>5379.5</v>
      </c>
      <c r="M16" s="17"/>
      <c r="N16" s="17"/>
      <c r="O16" s="18"/>
    </row>
    <row r="17" spans="1:15" x14ac:dyDescent="0.2">
      <c r="A17" s="1">
        <v>14</v>
      </c>
      <c r="B17" s="1" t="s">
        <v>23</v>
      </c>
      <c r="C17" s="2">
        <v>7090</v>
      </c>
      <c r="D17" s="2">
        <v>1609</v>
      </c>
      <c r="E17" s="2">
        <v>1479</v>
      </c>
      <c r="F17" s="2">
        <v>1012</v>
      </c>
      <c r="G17" s="1">
        <v>526</v>
      </c>
      <c r="H17" s="1">
        <v>194</v>
      </c>
      <c r="I17" s="1">
        <v>316</v>
      </c>
      <c r="J17" t="str">
        <f t="shared" si="0"/>
        <v>Outlier Atas</v>
      </c>
      <c r="K17" s="3" t="s">
        <v>167</v>
      </c>
      <c r="L17" s="16">
        <f>MEDIAN(D4:D159)</f>
        <v>960</v>
      </c>
      <c r="M17" s="17"/>
      <c r="N17" s="17"/>
      <c r="O17" s="18"/>
    </row>
    <row r="18" spans="1:15" x14ac:dyDescent="0.2">
      <c r="A18" s="1">
        <v>15</v>
      </c>
      <c r="B18" s="1" t="s">
        <v>24</v>
      </c>
      <c r="C18" s="2">
        <v>7054</v>
      </c>
      <c r="D18" s="2">
        <v>1333</v>
      </c>
      <c r="E18" s="2">
        <v>1538</v>
      </c>
      <c r="F18" s="1">
        <v>996</v>
      </c>
      <c r="G18" s="1">
        <v>450</v>
      </c>
      <c r="H18" s="1">
        <v>348</v>
      </c>
      <c r="I18" s="1">
        <v>278</v>
      </c>
      <c r="J18" t="str">
        <f t="shared" si="0"/>
        <v>Outlier Atas</v>
      </c>
      <c r="K18" s="3" t="s">
        <v>168</v>
      </c>
      <c r="L18" s="16">
        <f>MEDIAN(E4:E159)</f>
        <v>1271.5</v>
      </c>
      <c r="M18" s="17"/>
      <c r="N18" s="17"/>
      <c r="O18" s="18"/>
    </row>
    <row r="19" spans="1:15" x14ac:dyDescent="0.2">
      <c r="A19" s="1">
        <v>16</v>
      </c>
      <c r="B19" s="1" t="s">
        <v>25</v>
      </c>
      <c r="C19" s="2">
        <v>7021</v>
      </c>
      <c r="D19" s="2">
        <v>1499</v>
      </c>
      <c r="E19" s="2">
        <v>1553</v>
      </c>
      <c r="F19" s="1">
        <v>999</v>
      </c>
      <c r="G19" s="1">
        <v>516</v>
      </c>
      <c r="H19" s="1">
        <v>298</v>
      </c>
      <c r="I19" s="1">
        <v>310</v>
      </c>
      <c r="J19" t="str">
        <f t="shared" si="0"/>
        <v>Outlier Atas</v>
      </c>
      <c r="K19" s="3" t="s">
        <v>169</v>
      </c>
      <c r="L19" s="19">
        <f>MEDIAN(F4:F159)</f>
        <v>789</v>
      </c>
      <c r="M19" s="17"/>
      <c r="N19" s="17"/>
      <c r="O19" s="18"/>
    </row>
    <row r="20" spans="1:15" x14ac:dyDescent="0.2">
      <c r="A20" s="1">
        <v>17</v>
      </c>
      <c r="B20" s="1" t="s">
        <v>26</v>
      </c>
      <c r="C20" s="2">
        <v>6985</v>
      </c>
      <c r="D20" s="2">
        <v>1373</v>
      </c>
      <c r="E20" s="2">
        <v>1454</v>
      </c>
      <c r="F20" s="1">
        <v>987</v>
      </c>
      <c r="G20" s="1">
        <v>495</v>
      </c>
      <c r="H20" s="1">
        <v>261</v>
      </c>
      <c r="I20" s="1">
        <v>265</v>
      </c>
      <c r="J20" t="str">
        <f t="shared" si="0"/>
        <v>Outlier Atas</v>
      </c>
      <c r="K20" s="3" t="s">
        <v>170</v>
      </c>
      <c r="L20" s="19">
        <f>MEDIAN(G4:G159)</f>
        <v>417</v>
      </c>
      <c r="M20" s="17"/>
      <c r="N20" s="17"/>
      <c r="O20" s="18"/>
    </row>
    <row r="21" spans="1:15" x14ac:dyDescent="0.2">
      <c r="A21" s="1">
        <v>18</v>
      </c>
      <c r="B21" s="1" t="s">
        <v>27</v>
      </c>
      <c r="C21" s="2">
        <v>6923</v>
      </c>
      <c r="D21" s="2">
        <v>1356</v>
      </c>
      <c r="E21" s="2">
        <v>1504</v>
      </c>
      <c r="F21" s="1">
        <v>986</v>
      </c>
      <c r="G21" s="1">
        <v>473</v>
      </c>
      <c r="H21" s="1">
        <v>160</v>
      </c>
      <c r="I21" s="1">
        <v>210</v>
      </c>
      <c r="J21" t="str">
        <f t="shared" si="0"/>
        <v>Outlier Atas</v>
      </c>
      <c r="K21" s="3" t="s">
        <v>171</v>
      </c>
      <c r="L21" s="19">
        <f>MEDIAN(H4:H159)</f>
        <v>177.5</v>
      </c>
      <c r="M21" s="17"/>
      <c r="N21" s="17"/>
      <c r="O21" s="18"/>
    </row>
    <row r="22" spans="1:15" x14ac:dyDescent="0.2">
      <c r="A22" s="1">
        <v>19</v>
      </c>
      <c r="B22" s="1" t="s">
        <v>28</v>
      </c>
      <c r="C22" s="2">
        <v>6892</v>
      </c>
      <c r="D22" s="2">
        <v>1433</v>
      </c>
      <c r="E22" s="2">
        <v>1457</v>
      </c>
      <c r="F22" s="1">
        <v>874</v>
      </c>
      <c r="G22" s="1">
        <v>454</v>
      </c>
      <c r="H22" s="1">
        <v>280</v>
      </c>
      <c r="I22" s="1">
        <v>128</v>
      </c>
      <c r="J22" t="str">
        <f t="shared" si="0"/>
        <v>Outlier Atas</v>
      </c>
      <c r="K22" s="3" t="s">
        <v>172</v>
      </c>
      <c r="L22" s="19">
        <f>MEDIAN(I4:I159)</f>
        <v>85.5</v>
      </c>
      <c r="M22" s="17"/>
      <c r="N22" s="17"/>
      <c r="O22" s="18"/>
    </row>
    <row r="23" spans="1:15" x14ac:dyDescent="0.2">
      <c r="A23" s="1">
        <v>20</v>
      </c>
      <c r="B23" s="1" t="s">
        <v>29</v>
      </c>
      <c r="C23" s="2">
        <v>6852</v>
      </c>
      <c r="D23" s="2">
        <v>1269</v>
      </c>
      <c r="E23" s="2">
        <v>1487</v>
      </c>
      <c r="F23" s="1">
        <v>920</v>
      </c>
      <c r="G23" s="1">
        <v>457</v>
      </c>
      <c r="H23" s="1">
        <v>46</v>
      </c>
      <c r="I23" s="1">
        <v>36</v>
      </c>
      <c r="J23" t="str">
        <f t="shared" si="0"/>
        <v>Outlier Atas</v>
      </c>
    </row>
    <row r="24" spans="1:15" x14ac:dyDescent="0.2">
      <c r="A24" s="1">
        <v>21</v>
      </c>
      <c r="B24" s="1" t="s">
        <v>30</v>
      </c>
      <c r="C24" s="2">
        <v>6825</v>
      </c>
      <c r="D24" s="2">
        <v>1503</v>
      </c>
      <c r="E24" s="2">
        <v>1310</v>
      </c>
      <c r="F24" s="1">
        <v>825</v>
      </c>
      <c r="G24" s="1">
        <v>598</v>
      </c>
      <c r="H24" s="1">
        <v>262</v>
      </c>
      <c r="I24" s="1">
        <v>182</v>
      </c>
      <c r="J24" t="str">
        <f t="shared" si="0"/>
        <v>Outlier Atas</v>
      </c>
      <c r="K24" s="12" t="s">
        <v>177</v>
      </c>
      <c r="L24" s="12"/>
      <c r="M24" s="12"/>
      <c r="N24" s="12"/>
      <c r="O24" s="12"/>
    </row>
    <row r="25" spans="1:15" x14ac:dyDescent="0.2">
      <c r="A25" s="1">
        <v>22</v>
      </c>
      <c r="B25" s="1" t="s">
        <v>31</v>
      </c>
      <c r="C25" s="2">
        <v>6726</v>
      </c>
      <c r="D25" s="2">
        <v>1300</v>
      </c>
      <c r="E25" s="2">
        <v>1520</v>
      </c>
      <c r="F25" s="1">
        <v>999</v>
      </c>
      <c r="G25" s="1">
        <v>564</v>
      </c>
      <c r="H25" s="1">
        <v>375</v>
      </c>
      <c r="I25" s="1">
        <v>151</v>
      </c>
      <c r="J25" t="str">
        <f t="shared" si="0"/>
        <v>Outlier Atas</v>
      </c>
      <c r="K25" s="12"/>
      <c r="L25" s="12"/>
      <c r="M25" s="12"/>
      <c r="N25" s="12"/>
      <c r="O25" s="12"/>
    </row>
    <row r="26" spans="1:15" x14ac:dyDescent="0.2">
      <c r="A26" s="1">
        <v>23</v>
      </c>
      <c r="B26" s="1" t="s">
        <v>32</v>
      </c>
      <c r="C26" s="2">
        <v>6595</v>
      </c>
      <c r="D26" s="2">
        <v>1070</v>
      </c>
      <c r="E26" s="2">
        <v>1323</v>
      </c>
      <c r="F26" s="1">
        <v>861</v>
      </c>
      <c r="G26" s="1">
        <v>433</v>
      </c>
      <c r="H26" s="1">
        <v>74</v>
      </c>
      <c r="I26" s="1">
        <v>73</v>
      </c>
      <c r="J26" t="str">
        <f t="shared" si="0"/>
        <v>Outlier Atas</v>
      </c>
      <c r="K26" s="3" t="s">
        <v>175</v>
      </c>
      <c r="L26" s="5">
        <f>MODE(C4:C159)</f>
        <v>5208</v>
      </c>
      <c r="M26" s="15" t="s">
        <v>173</v>
      </c>
      <c r="N26" s="15"/>
      <c r="O26" s="4">
        <f>COUNTIF(C4:C159, MODE(C4:C159))</f>
        <v>2</v>
      </c>
    </row>
    <row r="27" spans="1:15" x14ac:dyDescent="0.2">
      <c r="A27" s="1">
        <v>24</v>
      </c>
      <c r="B27" s="1" t="s">
        <v>33</v>
      </c>
      <c r="C27" s="2">
        <v>6592</v>
      </c>
      <c r="D27" s="2">
        <v>1324</v>
      </c>
      <c r="E27" s="2">
        <v>1472</v>
      </c>
      <c r="F27" s="2">
        <v>1045</v>
      </c>
      <c r="G27" s="1">
        <v>436</v>
      </c>
      <c r="H27" s="1">
        <v>111</v>
      </c>
      <c r="I27" s="1">
        <v>183</v>
      </c>
      <c r="J27" t="str">
        <f t="shared" si="0"/>
        <v>Outlier Atas</v>
      </c>
      <c r="K27" s="3" t="s">
        <v>167</v>
      </c>
      <c r="L27" s="5">
        <f>MODE(D4:D159)</f>
        <v>960</v>
      </c>
      <c r="M27" s="15" t="s">
        <v>173</v>
      </c>
      <c r="N27" s="15"/>
      <c r="O27" s="4">
        <f>COUNTIF(D4:D159, MODE(D4:D159))</f>
        <v>3</v>
      </c>
    </row>
    <row r="28" spans="1:15" x14ac:dyDescent="0.2">
      <c r="A28" s="1">
        <v>25</v>
      </c>
      <c r="B28" s="1" t="s">
        <v>34</v>
      </c>
      <c r="C28" s="2">
        <v>6446</v>
      </c>
      <c r="D28" s="2">
        <v>1368</v>
      </c>
      <c r="E28" s="2">
        <v>1430</v>
      </c>
      <c r="F28" s="1">
        <v>914</v>
      </c>
      <c r="G28" s="1">
        <v>351</v>
      </c>
      <c r="H28" s="1">
        <v>242</v>
      </c>
      <c r="I28" s="1">
        <v>97</v>
      </c>
      <c r="J28" t="str">
        <f t="shared" si="0"/>
        <v>Outlier Atas</v>
      </c>
      <c r="K28" s="3" t="s">
        <v>168</v>
      </c>
      <c r="L28" s="5">
        <f>MODE(E4:E159)</f>
        <v>1465</v>
      </c>
      <c r="M28" s="15" t="s">
        <v>173</v>
      </c>
      <c r="N28" s="15"/>
      <c r="O28" s="4">
        <f>COUNTIF(E4:E159, MODE(E4:E159))</f>
        <v>3</v>
      </c>
    </row>
    <row r="29" spans="1:15" x14ac:dyDescent="0.2">
      <c r="A29" s="1">
        <v>26</v>
      </c>
      <c r="B29" s="1" t="s">
        <v>35</v>
      </c>
      <c r="C29" s="2">
        <v>6444</v>
      </c>
      <c r="D29" s="2">
        <v>1159</v>
      </c>
      <c r="E29" s="2">
        <v>1369</v>
      </c>
      <c r="F29" s="1">
        <v>920</v>
      </c>
      <c r="G29" s="1">
        <v>357</v>
      </c>
      <c r="H29" s="1">
        <v>187</v>
      </c>
      <c r="I29" s="1">
        <v>56</v>
      </c>
      <c r="J29" t="str">
        <f t="shared" si="0"/>
        <v>Outlier Atas</v>
      </c>
      <c r="K29" s="3" t="s">
        <v>169</v>
      </c>
      <c r="L29" s="6">
        <f>MODE(F4:F159)</f>
        <v>999</v>
      </c>
      <c r="M29" s="15" t="s">
        <v>173</v>
      </c>
      <c r="N29" s="15"/>
      <c r="O29" s="4">
        <f>COUNTIF(F4:F159, MODE(F4:F159))</f>
        <v>5</v>
      </c>
    </row>
    <row r="30" spans="1:15" x14ac:dyDescent="0.2">
      <c r="A30" s="1">
        <v>27</v>
      </c>
      <c r="B30" s="1" t="s">
        <v>36</v>
      </c>
      <c r="C30" s="2">
        <v>6436</v>
      </c>
      <c r="D30" s="1">
        <v>800</v>
      </c>
      <c r="E30" s="2">
        <v>1269</v>
      </c>
      <c r="F30" s="1">
        <v>746</v>
      </c>
      <c r="G30" s="1">
        <v>535</v>
      </c>
      <c r="H30" s="1">
        <v>175</v>
      </c>
      <c r="I30" s="1">
        <v>78</v>
      </c>
      <c r="J30" t="str">
        <f t="shared" si="0"/>
        <v>Outlier Atas</v>
      </c>
      <c r="K30" s="3" t="s">
        <v>170</v>
      </c>
      <c r="L30" s="6">
        <f>MODE(G4:G159)</f>
        <v>557</v>
      </c>
      <c r="M30" s="15" t="s">
        <v>173</v>
      </c>
      <c r="N30" s="15"/>
      <c r="O30" s="4">
        <f>COUNTIF(G4:G159, MODE(G4:G159))</f>
        <v>3</v>
      </c>
    </row>
    <row r="31" spans="1:15" x14ac:dyDescent="0.2">
      <c r="A31" s="1">
        <v>28</v>
      </c>
      <c r="B31" s="1" t="s">
        <v>37</v>
      </c>
      <c r="C31" s="2">
        <v>6375</v>
      </c>
      <c r="D31" s="2">
        <v>1403</v>
      </c>
      <c r="E31" s="2">
        <v>1357</v>
      </c>
      <c r="F31" s="1">
        <v>795</v>
      </c>
      <c r="G31" s="1">
        <v>439</v>
      </c>
      <c r="H31" s="1">
        <v>80</v>
      </c>
      <c r="I31" s="1">
        <v>132</v>
      </c>
      <c r="J31" t="str">
        <f t="shared" si="0"/>
        <v>Outlier Atas</v>
      </c>
      <c r="K31" s="3" t="s">
        <v>171</v>
      </c>
      <c r="L31" s="6">
        <f>MODE(H4:H159)</f>
        <v>153</v>
      </c>
      <c r="M31" s="15" t="s">
        <v>173</v>
      </c>
      <c r="N31" s="15"/>
      <c r="O31" s="4">
        <f>COUNTIF(H4:H159, MODE(H4:H159))</f>
        <v>4</v>
      </c>
    </row>
    <row r="32" spans="1:15" x14ac:dyDescent="0.2">
      <c r="A32" s="1">
        <v>29</v>
      </c>
      <c r="B32" s="1" t="s">
        <v>38</v>
      </c>
      <c r="C32" s="2">
        <v>6374</v>
      </c>
      <c r="D32" s="2">
        <v>1684</v>
      </c>
      <c r="E32" s="2">
        <v>1313</v>
      </c>
      <c r="F32" s="1">
        <v>871</v>
      </c>
      <c r="G32" s="1">
        <v>555</v>
      </c>
      <c r="H32" s="1">
        <v>220</v>
      </c>
      <c r="I32" s="1">
        <v>167</v>
      </c>
      <c r="J32" t="str">
        <f t="shared" si="0"/>
        <v>Outlier Atas</v>
      </c>
      <c r="K32" s="3" t="s">
        <v>172</v>
      </c>
      <c r="L32" s="6">
        <f>MODE(I4:I159)</f>
        <v>78</v>
      </c>
      <c r="M32" s="15" t="s">
        <v>173</v>
      </c>
      <c r="N32" s="15"/>
      <c r="O32" s="4">
        <f>COUNTIF(I4:I159, MODE(I4:I159))</f>
        <v>4</v>
      </c>
    </row>
    <row r="33" spans="1:15" x14ac:dyDescent="0.2">
      <c r="A33" s="1">
        <v>30</v>
      </c>
      <c r="B33" s="1" t="s">
        <v>39</v>
      </c>
      <c r="C33" s="2">
        <v>6354</v>
      </c>
      <c r="D33" s="2">
        <v>1286</v>
      </c>
      <c r="E33" s="2">
        <v>1484</v>
      </c>
      <c r="F33" s="2">
        <v>1062</v>
      </c>
      <c r="G33" s="1">
        <v>362</v>
      </c>
      <c r="H33" s="1">
        <v>153</v>
      </c>
      <c r="I33" s="1">
        <v>79</v>
      </c>
      <c r="J33" t="str">
        <f t="shared" si="0"/>
        <v>Outlier Atas</v>
      </c>
    </row>
    <row r="34" spans="1:15" x14ac:dyDescent="0.2">
      <c r="A34" s="1">
        <v>31</v>
      </c>
      <c r="B34" s="1" t="s">
        <v>40</v>
      </c>
      <c r="C34" s="2">
        <v>6321</v>
      </c>
      <c r="D34" s="2">
        <v>1149</v>
      </c>
      <c r="E34" s="2">
        <v>1442</v>
      </c>
      <c r="F34" s="1">
        <v>910</v>
      </c>
      <c r="G34" s="1">
        <v>516</v>
      </c>
      <c r="H34" s="1">
        <v>109</v>
      </c>
      <c r="I34" s="1">
        <v>54</v>
      </c>
      <c r="J34" t="str">
        <f t="shared" si="0"/>
        <v>Outlier Atas</v>
      </c>
      <c r="K34" s="14" t="s">
        <v>174</v>
      </c>
      <c r="L34" s="14"/>
      <c r="M34" s="14"/>
      <c r="N34" s="14"/>
      <c r="O34" s="14"/>
    </row>
    <row r="35" spans="1:15" x14ac:dyDescent="0.2">
      <c r="A35" s="1">
        <v>32</v>
      </c>
      <c r="B35" s="1" t="s">
        <v>41</v>
      </c>
      <c r="C35" s="2">
        <v>6300</v>
      </c>
      <c r="D35" s="2">
        <v>1004</v>
      </c>
      <c r="E35" s="2">
        <v>1439</v>
      </c>
      <c r="F35" s="1">
        <v>802</v>
      </c>
      <c r="G35" s="1">
        <v>390</v>
      </c>
      <c r="H35" s="1">
        <v>99</v>
      </c>
      <c r="I35" s="1">
        <v>86</v>
      </c>
      <c r="J35" t="str">
        <f t="shared" si="0"/>
        <v>Outlier Atas</v>
      </c>
      <c r="K35" s="14"/>
      <c r="L35" s="14"/>
      <c r="M35" s="14"/>
      <c r="N35" s="14"/>
      <c r="O35" s="14"/>
    </row>
    <row r="36" spans="1:15" x14ac:dyDescent="0.2">
      <c r="A36" s="1">
        <v>33</v>
      </c>
      <c r="B36" s="1" t="s">
        <v>42</v>
      </c>
      <c r="C36" s="2">
        <v>6293</v>
      </c>
      <c r="D36" s="2">
        <v>1124</v>
      </c>
      <c r="E36" s="2">
        <v>1465</v>
      </c>
      <c r="F36" s="1">
        <v>891</v>
      </c>
      <c r="G36" s="1">
        <v>523</v>
      </c>
      <c r="H36" s="1">
        <v>127</v>
      </c>
      <c r="I36" s="1">
        <v>150</v>
      </c>
      <c r="J36" t="str">
        <f t="shared" si="0"/>
        <v>Outlier Atas</v>
      </c>
    </row>
    <row r="37" spans="1:15" x14ac:dyDescent="0.2">
      <c r="A37" s="1">
        <v>34</v>
      </c>
      <c r="B37" s="1" t="s">
        <v>43</v>
      </c>
      <c r="C37" s="2">
        <v>6262</v>
      </c>
      <c r="D37" s="2">
        <v>1572</v>
      </c>
      <c r="E37" s="2">
        <v>1463</v>
      </c>
      <c r="F37" s="2">
        <v>1141</v>
      </c>
      <c r="G37" s="1">
        <v>556</v>
      </c>
      <c r="H37" s="1">
        <v>271</v>
      </c>
      <c r="I37" s="1">
        <v>453</v>
      </c>
      <c r="J37" t="str">
        <f t="shared" si="0"/>
        <v>Outlier Atas</v>
      </c>
      <c r="K37" s="12" t="s">
        <v>176</v>
      </c>
      <c r="L37" s="12"/>
      <c r="M37" s="12"/>
      <c r="N37" s="12"/>
      <c r="O37" s="12"/>
    </row>
    <row r="38" spans="1:15" x14ac:dyDescent="0.2">
      <c r="A38" s="1">
        <v>35</v>
      </c>
      <c r="B38" s="1" t="s">
        <v>44</v>
      </c>
      <c r="C38" s="2">
        <v>6253</v>
      </c>
      <c r="D38" s="1">
        <v>794</v>
      </c>
      <c r="E38" s="2">
        <v>1242</v>
      </c>
      <c r="F38" s="1">
        <v>789</v>
      </c>
      <c r="G38" s="1">
        <v>430</v>
      </c>
      <c r="H38" s="1">
        <v>93</v>
      </c>
      <c r="I38" s="1">
        <v>74</v>
      </c>
      <c r="J38" t="str">
        <f t="shared" si="0"/>
        <v>Outlier Atas</v>
      </c>
      <c r="K38" s="12"/>
      <c r="L38" s="12"/>
      <c r="M38" s="12"/>
      <c r="N38" s="12"/>
      <c r="O38" s="12"/>
    </row>
    <row r="39" spans="1:15" x14ac:dyDescent="0.2">
      <c r="A39" s="1">
        <v>36</v>
      </c>
      <c r="B39" s="1" t="s">
        <v>45</v>
      </c>
      <c r="C39" s="2">
        <v>6223</v>
      </c>
      <c r="D39" s="2">
        <v>1294</v>
      </c>
      <c r="E39" s="2">
        <v>1488</v>
      </c>
      <c r="F39" s="2">
        <v>1039</v>
      </c>
      <c r="G39" s="1">
        <v>231</v>
      </c>
      <c r="H39" s="1">
        <v>158</v>
      </c>
      <c r="I39" s="1">
        <v>30</v>
      </c>
      <c r="J39" t="str">
        <f t="shared" si="0"/>
        <v>Outlier Atas</v>
      </c>
      <c r="K39" s="3" t="s">
        <v>175</v>
      </c>
      <c r="L39" s="10">
        <f>MAX(C4:C159) - MIN(C4:C159)</f>
        <v>4916</v>
      </c>
      <c r="M39" s="11"/>
      <c r="N39" s="11"/>
      <c r="O39" s="11"/>
    </row>
    <row r="40" spans="1:15" x14ac:dyDescent="0.2">
      <c r="A40" s="1">
        <v>37</v>
      </c>
      <c r="B40" s="1" t="s">
        <v>46</v>
      </c>
      <c r="C40" s="2">
        <v>6199</v>
      </c>
      <c r="D40" s="2">
        <v>1362</v>
      </c>
      <c r="E40" s="2">
        <v>1368</v>
      </c>
      <c r="F40" s="1">
        <v>871</v>
      </c>
      <c r="G40" s="1">
        <v>536</v>
      </c>
      <c r="H40" s="1">
        <v>255</v>
      </c>
      <c r="I40" s="1">
        <v>110</v>
      </c>
      <c r="J40" t="str">
        <f t="shared" si="0"/>
        <v>Outlier Atas</v>
      </c>
      <c r="K40" s="3" t="s">
        <v>171</v>
      </c>
      <c r="L40" s="10">
        <f>MAX(H4:H159) - MIN(H4:H159)</f>
        <v>566</v>
      </c>
      <c r="M40" s="11"/>
      <c r="N40" s="11"/>
      <c r="O40" s="11"/>
    </row>
    <row r="41" spans="1:15" x14ac:dyDescent="0.2">
      <c r="A41" s="1">
        <v>38</v>
      </c>
      <c r="B41" s="1" t="s">
        <v>47</v>
      </c>
      <c r="C41" s="2">
        <v>6198</v>
      </c>
      <c r="D41" s="2">
        <v>1246</v>
      </c>
      <c r="E41" s="2">
        <v>1504</v>
      </c>
      <c r="F41" s="1">
        <v>881</v>
      </c>
      <c r="G41" s="1">
        <v>334</v>
      </c>
      <c r="H41" s="1">
        <v>121</v>
      </c>
      <c r="I41" s="1">
        <v>14</v>
      </c>
      <c r="J41" t="str">
        <f t="shared" si="0"/>
        <v>Outlier Atas</v>
      </c>
      <c r="K41" s="7"/>
      <c r="L41" s="8"/>
    </row>
    <row r="42" spans="1:15" x14ac:dyDescent="0.2">
      <c r="A42" s="1">
        <v>39</v>
      </c>
      <c r="B42" s="1" t="s">
        <v>48</v>
      </c>
      <c r="C42" s="2">
        <v>6192</v>
      </c>
      <c r="D42" s="2">
        <v>1231</v>
      </c>
      <c r="E42" s="2">
        <v>1477</v>
      </c>
      <c r="F42" s="1">
        <v>713</v>
      </c>
      <c r="G42" s="1">
        <v>489</v>
      </c>
      <c r="H42" s="1">
        <v>185</v>
      </c>
      <c r="I42" s="1">
        <v>16</v>
      </c>
      <c r="J42" t="str">
        <f t="shared" si="0"/>
        <v>Outlier Atas</v>
      </c>
      <c r="K42" s="12" t="s">
        <v>180</v>
      </c>
      <c r="L42" s="12"/>
      <c r="M42" s="12"/>
      <c r="N42" s="12"/>
      <c r="O42" s="12"/>
    </row>
    <row r="43" spans="1:15" x14ac:dyDescent="0.2">
      <c r="A43" s="1">
        <v>40</v>
      </c>
      <c r="B43" s="1" t="s">
        <v>49</v>
      </c>
      <c r="C43" s="2">
        <v>6182</v>
      </c>
      <c r="D43" s="2">
        <v>1206</v>
      </c>
      <c r="E43" s="2">
        <v>1438</v>
      </c>
      <c r="F43" s="1">
        <v>884</v>
      </c>
      <c r="G43" s="1">
        <v>483</v>
      </c>
      <c r="H43" s="1">
        <v>117</v>
      </c>
      <c r="I43" s="1">
        <v>50</v>
      </c>
      <c r="J43" t="str">
        <f t="shared" si="0"/>
        <v>Outlier Atas</v>
      </c>
      <c r="K43" s="12"/>
      <c r="L43" s="12"/>
      <c r="M43" s="12"/>
      <c r="N43" s="12"/>
      <c r="O43" s="12"/>
    </row>
    <row r="44" spans="1:15" x14ac:dyDescent="0.2">
      <c r="A44" s="1">
        <v>41</v>
      </c>
      <c r="B44" s="1" t="s">
        <v>50</v>
      </c>
      <c r="C44" s="2">
        <v>6174</v>
      </c>
      <c r="D44" s="1">
        <v>745</v>
      </c>
      <c r="E44" s="2">
        <v>1529</v>
      </c>
      <c r="F44" s="1">
        <v>756</v>
      </c>
      <c r="G44" s="1">
        <v>631</v>
      </c>
      <c r="H44" s="1">
        <v>322</v>
      </c>
      <c r="I44" s="1">
        <v>240</v>
      </c>
      <c r="J44" t="str">
        <f t="shared" si="0"/>
        <v>Outlier Atas</v>
      </c>
      <c r="K44" s="3" t="s">
        <v>175</v>
      </c>
      <c r="L44" s="10">
        <f>_xlfn.VAR.P(C4:C159)</f>
        <v>1231093.3048570019</v>
      </c>
      <c r="M44" s="11"/>
      <c r="N44" s="11"/>
      <c r="O44" s="11"/>
    </row>
    <row r="45" spans="1:15" x14ac:dyDescent="0.2">
      <c r="A45" s="1">
        <v>42</v>
      </c>
      <c r="B45" s="1" t="s">
        <v>51</v>
      </c>
      <c r="C45" s="2">
        <v>6149</v>
      </c>
      <c r="D45" s="2">
        <v>1238</v>
      </c>
      <c r="E45" s="2">
        <v>1515</v>
      </c>
      <c r="F45" s="1">
        <v>818</v>
      </c>
      <c r="G45" s="1">
        <v>291</v>
      </c>
      <c r="H45" s="1">
        <v>43</v>
      </c>
      <c r="I45" s="1">
        <v>42</v>
      </c>
      <c r="J45" t="str">
        <f t="shared" si="0"/>
        <v>Outlier Atas</v>
      </c>
      <c r="K45" s="3" t="s">
        <v>171</v>
      </c>
      <c r="L45" s="10">
        <f>_xlfn.VAR.P(H4:H159)</f>
        <v>9015.2455621301779</v>
      </c>
      <c r="M45" s="11"/>
      <c r="N45" s="11"/>
      <c r="O45" s="11"/>
    </row>
    <row r="46" spans="1:15" x14ac:dyDescent="0.2">
      <c r="A46" s="1">
        <v>43</v>
      </c>
      <c r="B46" s="1" t="s">
        <v>52</v>
      </c>
      <c r="C46" s="2">
        <v>6125</v>
      </c>
      <c r="D46" s="1">
        <v>985</v>
      </c>
      <c r="E46" s="2">
        <v>1410</v>
      </c>
      <c r="F46" s="1">
        <v>841</v>
      </c>
      <c r="G46" s="1">
        <v>470</v>
      </c>
      <c r="H46" s="1">
        <v>99</v>
      </c>
      <c r="I46" s="1">
        <v>34</v>
      </c>
      <c r="J46" t="str">
        <f t="shared" si="0"/>
        <v>Outlier Atas</v>
      </c>
    </row>
    <row r="47" spans="1:15" x14ac:dyDescent="0.2">
      <c r="A47" s="1">
        <v>44</v>
      </c>
      <c r="B47" s="1" t="s">
        <v>53</v>
      </c>
      <c r="C47" s="2">
        <v>6118</v>
      </c>
      <c r="D47" s="2">
        <v>1258</v>
      </c>
      <c r="E47" s="2">
        <v>1523</v>
      </c>
      <c r="F47" s="1">
        <v>953</v>
      </c>
      <c r="G47" s="1">
        <v>564</v>
      </c>
      <c r="H47" s="1">
        <v>144</v>
      </c>
      <c r="I47" s="1">
        <v>57</v>
      </c>
      <c r="J47" t="str">
        <f t="shared" si="0"/>
        <v>Outlier Atas</v>
      </c>
      <c r="K47" s="12" t="s">
        <v>181</v>
      </c>
      <c r="L47" s="12"/>
      <c r="M47" s="12"/>
      <c r="N47" s="12"/>
      <c r="O47" s="12"/>
    </row>
    <row r="48" spans="1:15" x14ac:dyDescent="0.2">
      <c r="A48" s="1">
        <v>45</v>
      </c>
      <c r="B48" s="1" t="s">
        <v>54</v>
      </c>
      <c r="C48" s="2">
        <v>6105</v>
      </c>
      <c r="D48" s="1">
        <v>694</v>
      </c>
      <c r="E48" s="2">
        <v>1325</v>
      </c>
      <c r="F48" s="1">
        <v>835</v>
      </c>
      <c r="G48" s="1">
        <v>435</v>
      </c>
      <c r="H48" s="1">
        <v>200</v>
      </c>
      <c r="I48" s="1">
        <v>127</v>
      </c>
      <c r="J48" t="str">
        <f t="shared" si="0"/>
        <v>Outlier Atas</v>
      </c>
      <c r="K48" s="12"/>
      <c r="L48" s="12"/>
      <c r="M48" s="12"/>
      <c r="N48" s="12"/>
      <c r="O48" s="12"/>
    </row>
    <row r="49" spans="1:15" x14ac:dyDescent="0.2">
      <c r="A49" s="1">
        <v>46</v>
      </c>
      <c r="B49" s="1" t="s">
        <v>55</v>
      </c>
      <c r="C49" s="2">
        <v>6100</v>
      </c>
      <c r="D49" s="1">
        <v>882</v>
      </c>
      <c r="E49" s="2">
        <v>1232</v>
      </c>
      <c r="F49" s="1">
        <v>758</v>
      </c>
      <c r="G49" s="1">
        <v>489</v>
      </c>
      <c r="H49" s="1">
        <v>262</v>
      </c>
      <c r="I49" s="1">
        <v>6</v>
      </c>
      <c r="J49" t="str">
        <f t="shared" si="0"/>
        <v>Outlier Atas</v>
      </c>
      <c r="K49" s="3" t="s">
        <v>175</v>
      </c>
      <c r="L49" s="10">
        <f>_xlfn.STDEV.P(C4:C159)</f>
        <v>1109.5464410546329</v>
      </c>
      <c r="M49" s="11"/>
      <c r="N49" s="11"/>
      <c r="O49" s="11"/>
    </row>
    <row r="50" spans="1:15" x14ac:dyDescent="0.2">
      <c r="A50" s="1">
        <v>47</v>
      </c>
      <c r="B50" s="1" t="s">
        <v>56</v>
      </c>
      <c r="C50" s="2">
        <v>6086</v>
      </c>
      <c r="D50" s="2">
        <v>1092</v>
      </c>
      <c r="E50" s="2">
        <v>1432</v>
      </c>
      <c r="F50" s="1">
        <v>881</v>
      </c>
      <c r="G50" s="1">
        <v>471</v>
      </c>
      <c r="H50" s="1">
        <v>66</v>
      </c>
      <c r="I50" s="1">
        <v>50</v>
      </c>
      <c r="J50" t="str">
        <f t="shared" si="0"/>
        <v>Outlier Atas</v>
      </c>
      <c r="K50" s="3" t="s">
        <v>171</v>
      </c>
      <c r="L50" s="10">
        <f>_xlfn.STDEV.P(H4:H159)</f>
        <v>94.948646973667707</v>
      </c>
      <c r="M50" s="11"/>
      <c r="N50" s="11"/>
      <c r="O50" s="11"/>
    </row>
    <row r="51" spans="1:15" x14ac:dyDescent="0.2">
      <c r="A51" s="1">
        <v>48</v>
      </c>
      <c r="B51" s="1" t="s">
        <v>57</v>
      </c>
      <c r="C51" s="2">
        <v>6070</v>
      </c>
      <c r="D51" s="2">
        <v>1162</v>
      </c>
      <c r="E51" s="2">
        <v>1232</v>
      </c>
      <c r="F51" s="1">
        <v>825</v>
      </c>
      <c r="G51" s="1">
        <v>462</v>
      </c>
      <c r="H51" s="1">
        <v>83</v>
      </c>
      <c r="I51" s="1">
        <v>5</v>
      </c>
      <c r="J51" t="str">
        <f t="shared" si="0"/>
        <v>Outlier Atas</v>
      </c>
    </row>
    <row r="52" spans="1:15" x14ac:dyDescent="0.2">
      <c r="A52" s="1">
        <v>49</v>
      </c>
      <c r="B52" s="1" t="s">
        <v>58</v>
      </c>
      <c r="C52" s="2">
        <v>6046</v>
      </c>
      <c r="D52" s="2">
        <v>1263</v>
      </c>
      <c r="E52" s="2">
        <v>1223</v>
      </c>
      <c r="F52" s="2">
        <v>1042</v>
      </c>
      <c r="G52" s="1">
        <v>406</v>
      </c>
      <c r="H52" s="1">
        <v>190</v>
      </c>
      <c r="I52" s="1">
        <v>41</v>
      </c>
      <c r="J52" t="str">
        <f t="shared" si="0"/>
        <v>Outlier Atas</v>
      </c>
      <c r="K52" s="12" t="s">
        <v>182</v>
      </c>
      <c r="L52" s="12"/>
      <c r="M52" s="12"/>
      <c r="N52" s="12"/>
      <c r="O52" s="12"/>
    </row>
    <row r="53" spans="1:15" x14ac:dyDescent="0.2">
      <c r="A53" s="1">
        <v>50</v>
      </c>
      <c r="B53" s="1" t="s">
        <v>59</v>
      </c>
      <c r="C53" s="2">
        <v>6028</v>
      </c>
      <c r="D53" s="1">
        <v>912</v>
      </c>
      <c r="E53" s="2">
        <v>1312</v>
      </c>
      <c r="F53" s="1">
        <v>868</v>
      </c>
      <c r="G53" s="1">
        <v>498</v>
      </c>
      <c r="H53" s="1">
        <v>126</v>
      </c>
      <c r="I53" s="1">
        <v>87</v>
      </c>
      <c r="J53" t="str">
        <f t="shared" si="0"/>
        <v>Outlier Atas</v>
      </c>
      <c r="K53" s="12"/>
      <c r="L53" s="12"/>
      <c r="M53" s="12"/>
      <c r="N53" s="12"/>
      <c r="O53" s="12"/>
    </row>
    <row r="54" spans="1:15" x14ac:dyDescent="0.2">
      <c r="A54" s="1">
        <v>51</v>
      </c>
      <c r="B54" s="1" t="s">
        <v>60</v>
      </c>
      <c r="C54" s="2">
        <v>6021</v>
      </c>
      <c r="D54" s="2">
        <v>1500</v>
      </c>
      <c r="E54" s="2">
        <v>1319</v>
      </c>
      <c r="F54" s="1">
        <v>808</v>
      </c>
      <c r="G54" s="1">
        <v>493</v>
      </c>
      <c r="H54" s="1">
        <v>142</v>
      </c>
      <c r="I54" s="1">
        <v>97</v>
      </c>
      <c r="J54" t="str">
        <f t="shared" si="0"/>
        <v>Outlier Atas</v>
      </c>
      <c r="K54" s="3" t="s">
        <v>175</v>
      </c>
      <c r="L54" s="10">
        <f>_xlfn.QUARTILE.INC(C4:C159, 1)</f>
        <v>4544.5</v>
      </c>
      <c r="M54" s="11"/>
      <c r="N54" s="11"/>
      <c r="O54" s="11"/>
    </row>
    <row r="55" spans="1:15" x14ac:dyDescent="0.2">
      <c r="A55" s="1">
        <v>52</v>
      </c>
      <c r="B55" s="1" t="s">
        <v>61</v>
      </c>
      <c r="C55" s="2">
        <v>6008</v>
      </c>
      <c r="D55" s="2">
        <v>1050</v>
      </c>
      <c r="E55" s="2">
        <v>1409</v>
      </c>
      <c r="F55" s="1">
        <v>828</v>
      </c>
      <c r="G55" s="1">
        <v>557</v>
      </c>
      <c r="H55" s="1">
        <v>359</v>
      </c>
      <c r="I55" s="1">
        <v>28</v>
      </c>
      <c r="J55" t="str">
        <f t="shared" si="0"/>
        <v>Outlier Atas</v>
      </c>
      <c r="K55" s="3" t="s">
        <v>171</v>
      </c>
      <c r="L55" s="10">
        <f>_xlfn.QUARTILE.INC(H4:H159, 1)</f>
        <v>108.75</v>
      </c>
      <c r="M55" s="11"/>
      <c r="N55" s="11"/>
      <c r="O55" s="11"/>
    </row>
    <row r="56" spans="1:15" x14ac:dyDescent="0.2">
      <c r="A56" s="1">
        <v>53</v>
      </c>
      <c r="B56" s="1" t="s">
        <v>62</v>
      </c>
      <c r="C56" s="2">
        <v>5940</v>
      </c>
      <c r="D56" s="2">
        <v>1187</v>
      </c>
      <c r="E56" s="2">
        <v>1465</v>
      </c>
      <c r="F56" s="1">
        <v>812</v>
      </c>
      <c r="G56" s="1">
        <v>264</v>
      </c>
      <c r="H56" s="1">
        <v>75</v>
      </c>
      <c r="I56" s="1">
        <v>64</v>
      </c>
      <c r="J56" t="str">
        <f t="shared" si="0"/>
        <v>Outlier Atas</v>
      </c>
    </row>
    <row r="57" spans="1:15" x14ac:dyDescent="0.2">
      <c r="A57" s="1">
        <v>54</v>
      </c>
      <c r="B57" s="1" t="s">
        <v>63</v>
      </c>
      <c r="C57" s="2">
        <v>5895</v>
      </c>
      <c r="D57" s="2">
        <v>1301</v>
      </c>
      <c r="E57" s="2">
        <v>1219</v>
      </c>
      <c r="F57" s="2">
        <v>1036</v>
      </c>
      <c r="G57" s="1">
        <v>159</v>
      </c>
      <c r="H57" s="1">
        <v>175</v>
      </c>
      <c r="I57" s="1">
        <v>56</v>
      </c>
      <c r="J57" t="str">
        <f t="shared" si="0"/>
        <v>Outlier Atas</v>
      </c>
      <c r="K57" s="12" t="s">
        <v>183</v>
      </c>
      <c r="L57" s="12"/>
      <c r="M57" s="12"/>
      <c r="N57" s="12"/>
      <c r="O57" s="12"/>
    </row>
    <row r="58" spans="1:15" x14ac:dyDescent="0.2">
      <c r="A58" s="1">
        <v>55</v>
      </c>
      <c r="B58" s="1" t="s">
        <v>64</v>
      </c>
      <c r="C58" s="2">
        <v>5893</v>
      </c>
      <c r="D58" s="2">
        <v>1237</v>
      </c>
      <c r="E58" s="2">
        <v>1528</v>
      </c>
      <c r="F58" s="1">
        <v>874</v>
      </c>
      <c r="G58" s="1">
        <v>495</v>
      </c>
      <c r="H58" s="1">
        <v>103</v>
      </c>
      <c r="I58" s="1">
        <v>161</v>
      </c>
      <c r="J58" t="str">
        <f t="shared" si="0"/>
        <v>Outlier Atas</v>
      </c>
      <c r="K58" s="12"/>
      <c r="L58" s="12"/>
      <c r="M58" s="12"/>
      <c r="N58" s="12"/>
      <c r="O58" s="12"/>
    </row>
    <row r="59" spans="1:15" x14ac:dyDescent="0.2">
      <c r="A59" s="1">
        <v>56</v>
      </c>
      <c r="B59" s="1" t="s">
        <v>65</v>
      </c>
      <c r="C59" s="2">
        <v>5890</v>
      </c>
      <c r="D59" s="1">
        <v>831</v>
      </c>
      <c r="E59" s="2">
        <v>1478</v>
      </c>
      <c r="F59" s="1">
        <v>831</v>
      </c>
      <c r="G59" s="1">
        <v>490</v>
      </c>
      <c r="H59" s="1">
        <v>107</v>
      </c>
      <c r="I59" s="1">
        <v>28</v>
      </c>
      <c r="J59" t="str">
        <f t="shared" si="0"/>
        <v>Outlier Atas</v>
      </c>
      <c r="K59" s="3" t="s">
        <v>175</v>
      </c>
      <c r="L59" s="10">
        <f>_xlfn.QUARTILE.INC(C4:C159, 2)</f>
        <v>5379.5</v>
      </c>
      <c r="M59" s="11"/>
      <c r="N59" s="11"/>
      <c r="O59" s="11"/>
    </row>
    <row r="60" spans="1:15" x14ac:dyDescent="0.2">
      <c r="A60" s="1">
        <v>57</v>
      </c>
      <c r="B60" s="1" t="s">
        <v>66</v>
      </c>
      <c r="C60" s="2">
        <v>5888</v>
      </c>
      <c r="D60" s="2">
        <v>1120</v>
      </c>
      <c r="E60" s="2">
        <v>1402</v>
      </c>
      <c r="F60" s="1">
        <v>798</v>
      </c>
      <c r="G60" s="1">
        <v>498</v>
      </c>
      <c r="H60" s="1">
        <v>215</v>
      </c>
      <c r="I60" s="1">
        <v>60</v>
      </c>
      <c r="J60" t="str">
        <f t="shared" si="0"/>
        <v>Outlier Atas</v>
      </c>
      <c r="K60" s="3" t="s">
        <v>171</v>
      </c>
      <c r="L60" s="10">
        <f>_xlfn.QUARTILE.INC(H4:H159, 2)</f>
        <v>177.5</v>
      </c>
      <c r="M60" s="11"/>
      <c r="N60" s="11"/>
      <c r="O60" s="11"/>
    </row>
    <row r="61" spans="1:15" x14ac:dyDescent="0.2">
      <c r="A61" s="1">
        <v>58</v>
      </c>
      <c r="B61" s="1" t="s">
        <v>67</v>
      </c>
      <c r="C61" s="2">
        <v>5886</v>
      </c>
      <c r="D61" s="2">
        <v>1327</v>
      </c>
      <c r="E61" s="2">
        <v>1419</v>
      </c>
      <c r="F61" s="2">
        <v>1088</v>
      </c>
      <c r="G61" s="1">
        <v>445</v>
      </c>
      <c r="H61" s="1">
        <v>69</v>
      </c>
      <c r="I61" s="1">
        <v>140</v>
      </c>
      <c r="J61" t="str">
        <f t="shared" si="0"/>
        <v>Outlier Atas</v>
      </c>
    </row>
    <row r="62" spans="1:15" x14ac:dyDescent="0.2">
      <c r="A62" s="1">
        <v>59</v>
      </c>
      <c r="B62" s="1" t="s">
        <v>68</v>
      </c>
      <c r="C62" s="2">
        <v>5860</v>
      </c>
      <c r="D62" s="1">
        <v>642</v>
      </c>
      <c r="E62" s="2">
        <v>1236</v>
      </c>
      <c r="F62" s="1">
        <v>828</v>
      </c>
      <c r="G62" s="1">
        <v>507</v>
      </c>
      <c r="H62" s="1">
        <v>246</v>
      </c>
      <c r="I62" s="1">
        <v>78</v>
      </c>
      <c r="J62" t="str">
        <f t="shared" si="0"/>
        <v>Outlier Atas</v>
      </c>
      <c r="K62" s="12" t="s">
        <v>184</v>
      </c>
      <c r="L62" s="12"/>
      <c r="M62" s="12"/>
      <c r="N62" s="12"/>
      <c r="O62" s="12"/>
    </row>
    <row r="63" spans="1:15" x14ac:dyDescent="0.2">
      <c r="A63" s="1">
        <v>60</v>
      </c>
      <c r="B63" s="1" t="s">
        <v>69</v>
      </c>
      <c r="C63" s="2">
        <v>5809</v>
      </c>
      <c r="D63" s="2">
        <v>1173</v>
      </c>
      <c r="E63" s="2">
        <v>1508</v>
      </c>
      <c r="F63" s="1">
        <v>729</v>
      </c>
      <c r="G63" s="1">
        <v>410</v>
      </c>
      <c r="H63" s="1">
        <v>146</v>
      </c>
      <c r="I63" s="1">
        <v>96</v>
      </c>
      <c r="J63" t="str">
        <f t="shared" si="0"/>
        <v>Outlier Atas</v>
      </c>
      <c r="K63" s="12"/>
      <c r="L63" s="12"/>
      <c r="M63" s="12"/>
      <c r="N63" s="12"/>
      <c r="O63" s="12"/>
    </row>
    <row r="64" spans="1:15" x14ac:dyDescent="0.2">
      <c r="A64" s="1">
        <v>61</v>
      </c>
      <c r="B64" s="1" t="s">
        <v>70</v>
      </c>
      <c r="C64" s="2">
        <v>5779</v>
      </c>
      <c r="D64" s="1">
        <v>776</v>
      </c>
      <c r="E64" s="2">
        <v>1209</v>
      </c>
      <c r="F64" s="1">
        <v>706</v>
      </c>
      <c r="G64" s="1">
        <v>511</v>
      </c>
      <c r="H64" s="1">
        <v>137</v>
      </c>
      <c r="I64" s="1">
        <v>64</v>
      </c>
      <c r="J64" t="str">
        <f t="shared" si="0"/>
        <v>Outlier Atas</v>
      </c>
      <c r="K64" s="3" t="s">
        <v>175</v>
      </c>
      <c r="L64" s="10">
        <f>_xlfn.QUARTILE.INC(C4:C159, 3)</f>
        <v>6184.5</v>
      </c>
      <c r="M64" s="11"/>
      <c r="N64" s="11"/>
      <c r="O64" s="11"/>
    </row>
    <row r="65" spans="1:15" x14ac:dyDescent="0.2">
      <c r="A65" s="1">
        <v>62</v>
      </c>
      <c r="B65" s="1" t="s">
        <v>71</v>
      </c>
      <c r="C65" s="2">
        <v>5758</v>
      </c>
      <c r="D65" s="2">
        <v>1201</v>
      </c>
      <c r="E65" s="2">
        <v>1410</v>
      </c>
      <c r="F65" s="1">
        <v>828</v>
      </c>
      <c r="G65" s="1">
        <v>199</v>
      </c>
      <c r="H65" s="1">
        <v>81</v>
      </c>
      <c r="I65" s="1">
        <v>20</v>
      </c>
      <c r="J65" t="str">
        <f t="shared" si="0"/>
        <v>Outlier Atas</v>
      </c>
      <c r="K65" s="3" t="s">
        <v>171</v>
      </c>
      <c r="L65" s="10">
        <f>_xlfn.QUARTILE.INC(H4:H159, 3)</f>
        <v>248.25</v>
      </c>
      <c r="M65" s="11"/>
      <c r="N65" s="11"/>
      <c r="O65" s="11"/>
    </row>
    <row r="66" spans="1:15" x14ac:dyDescent="0.2">
      <c r="A66" s="1">
        <v>63</v>
      </c>
      <c r="B66" s="1" t="s">
        <v>72</v>
      </c>
      <c r="C66" s="2">
        <v>5743</v>
      </c>
      <c r="D66" s="1">
        <v>855</v>
      </c>
      <c r="E66" s="2">
        <v>1475</v>
      </c>
      <c r="F66" s="1">
        <v>777</v>
      </c>
      <c r="G66" s="1">
        <v>514</v>
      </c>
      <c r="H66" s="1">
        <v>184</v>
      </c>
      <c r="I66" s="1">
        <v>80</v>
      </c>
      <c r="J66" t="str">
        <f t="shared" si="0"/>
        <v>Outlier Atas</v>
      </c>
    </row>
    <row r="67" spans="1:15" x14ac:dyDescent="0.2">
      <c r="A67" s="1">
        <v>64</v>
      </c>
      <c r="B67" s="1" t="s">
        <v>73</v>
      </c>
      <c r="C67" s="2">
        <v>5718</v>
      </c>
      <c r="D67" s="2">
        <v>1263</v>
      </c>
      <c r="E67" s="2">
        <v>1252</v>
      </c>
      <c r="F67" s="2">
        <v>1042</v>
      </c>
      <c r="G67" s="1">
        <v>417</v>
      </c>
      <c r="H67" s="1">
        <v>191</v>
      </c>
      <c r="I67" s="1">
        <v>162</v>
      </c>
      <c r="J67" t="str">
        <f t="shared" si="0"/>
        <v>Outlier Atas</v>
      </c>
      <c r="K67" s="12" t="s">
        <v>185</v>
      </c>
      <c r="L67" s="12"/>
      <c r="M67" s="12"/>
      <c r="N67" s="12"/>
      <c r="O67" s="12"/>
    </row>
    <row r="68" spans="1:15" x14ac:dyDescent="0.2">
      <c r="A68" s="1">
        <v>65</v>
      </c>
      <c r="B68" s="1" t="s">
        <v>74</v>
      </c>
      <c r="C68" s="2">
        <v>5697</v>
      </c>
      <c r="D68" s="1">
        <v>960</v>
      </c>
      <c r="E68" s="2">
        <v>1274</v>
      </c>
      <c r="F68" s="1">
        <v>854</v>
      </c>
      <c r="G68" s="1">
        <v>455</v>
      </c>
      <c r="H68" s="1">
        <v>83</v>
      </c>
      <c r="I68" s="1">
        <v>27</v>
      </c>
      <c r="J68" t="str">
        <f t="shared" si="0"/>
        <v>Outlier Atas</v>
      </c>
      <c r="K68" s="12"/>
      <c r="L68" s="12"/>
      <c r="M68" s="12"/>
      <c r="N68" s="12"/>
      <c r="O68" s="12"/>
    </row>
    <row r="69" spans="1:15" x14ac:dyDescent="0.2">
      <c r="A69" s="1">
        <v>66</v>
      </c>
      <c r="B69" s="1" t="s">
        <v>75</v>
      </c>
      <c r="C69" s="2">
        <v>5693</v>
      </c>
      <c r="D69" s="2">
        <v>1221</v>
      </c>
      <c r="E69" s="2">
        <v>1431</v>
      </c>
      <c r="F69" s="1">
        <v>999</v>
      </c>
      <c r="G69" s="1">
        <v>508</v>
      </c>
      <c r="H69" s="1">
        <v>47</v>
      </c>
      <c r="I69" s="1">
        <v>25</v>
      </c>
      <c r="J69" t="str">
        <f t="shared" ref="J69:J132" si="1">IF(C69 &lt; L139, "Outlier Bawah", IF(C69 &gt; L140, "Outlier Atas", "Normal"))</f>
        <v>Outlier Atas</v>
      </c>
      <c r="K69" s="3" t="s">
        <v>175</v>
      </c>
      <c r="L69" s="10">
        <f>L64 - L54</f>
        <v>1640</v>
      </c>
      <c r="M69" s="11"/>
      <c r="N69" s="11"/>
      <c r="O69" s="11"/>
    </row>
    <row r="70" spans="1:15" x14ac:dyDescent="0.2">
      <c r="A70" s="1">
        <v>67</v>
      </c>
      <c r="B70" s="1" t="s">
        <v>76</v>
      </c>
      <c r="C70" s="2">
        <v>5653</v>
      </c>
      <c r="D70" s="1">
        <v>677</v>
      </c>
      <c r="E70" s="1">
        <v>886</v>
      </c>
      <c r="F70" s="1">
        <v>535</v>
      </c>
      <c r="G70" s="1">
        <v>313</v>
      </c>
      <c r="H70" s="1">
        <v>220</v>
      </c>
      <c r="I70" s="1">
        <v>98</v>
      </c>
      <c r="J70" t="str">
        <f t="shared" si="1"/>
        <v>Outlier Atas</v>
      </c>
      <c r="K70" s="3" t="s">
        <v>171</v>
      </c>
      <c r="L70" s="10">
        <f>L65 - L55</f>
        <v>139.5</v>
      </c>
      <c r="M70" s="11"/>
      <c r="N70" s="11"/>
      <c r="O70" s="11"/>
    </row>
    <row r="71" spans="1:15" x14ac:dyDescent="0.2">
      <c r="A71" s="1">
        <v>68</v>
      </c>
      <c r="B71" s="1" t="s">
        <v>77</v>
      </c>
      <c r="C71" s="2">
        <v>5648</v>
      </c>
      <c r="D71" s="2">
        <v>1183</v>
      </c>
      <c r="E71" s="2">
        <v>1452</v>
      </c>
      <c r="F71" s="1">
        <v>726</v>
      </c>
      <c r="G71" s="1">
        <v>334</v>
      </c>
      <c r="H71" s="1">
        <v>82</v>
      </c>
      <c r="I71" s="1">
        <v>31</v>
      </c>
      <c r="J71" t="str">
        <f t="shared" si="1"/>
        <v>Outlier Atas</v>
      </c>
    </row>
    <row r="72" spans="1:15" x14ac:dyDescent="0.2">
      <c r="A72" s="1">
        <v>69</v>
      </c>
      <c r="B72" s="1" t="s">
        <v>78</v>
      </c>
      <c r="C72" s="2">
        <v>5631</v>
      </c>
      <c r="D72" s="1">
        <v>807</v>
      </c>
      <c r="E72" s="2">
        <v>1293</v>
      </c>
      <c r="F72" s="1">
        <v>657</v>
      </c>
      <c r="G72" s="1">
        <v>558</v>
      </c>
      <c r="H72" s="1">
        <v>117</v>
      </c>
      <c r="I72" s="1">
        <v>107</v>
      </c>
      <c r="J72" t="str">
        <f t="shared" si="1"/>
        <v>Outlier Atas</v>
      </c>
      <c r="K72" s="12" t="s">
        <v>186</v>
      </c>
      <c r="L72" s="12"/>
      <c r="M72" s="12"/>
      <c r="N72" s="12"/>
      <c r="O72" s="12"/>
    </row>
    <row r="73" spans="1:15" x14ac:dyDescent="0.2">
      <c r="A73" s="1">
        <v>70</v>
      </c>
      <c r="B73" s="1" t="s">
        <v>79</v>
      </c>
      <c r="C73" s="2">
        <v>5603</v>
      </c>
      <c r="D73" s="2">
        <v>1004</v>
      </c>
      <c r="E73" s="2">
        <v>1383</v>
      </c>
      <c r="F73" s="1">
        <v>854</v>
      </c>
      <c r="G73" s="1">
        <v>282</v>
      </c>
      <c r="H73" s="1">
        <v>137</v>
      </c>
      <c r="I73" s="1">
        <v>39</v>
      </c>
      <c r="J73" t="str">
        <f t="shared" si="1"/>
        <v>Outlier Atas</v>
      </c>
      <c r="K73" s="12"/>
      <c r="L73" s="12"/>
      <c r="M73" s="12"/>
      <c r="N73" s="12"/>
      <c r="O73" s="12"/>
    </row>
    <row r="74" spans="1:15" x14ac:dyDescent="0.2">
      <c r="A74" s="1">
        <v>71</v>
      </c>
      <c r="B74" s="1" t="s">
        <v>80</v>
      </c>
      <c r="C74" s="2">
        <v>5529</v>
      </c>
      <c r="D74" s="1">
        <v>685</v>
      </c>
      <c r="E74" s="2">
        <v>1328</v>
      </c>
      <c r="F74" s="1">
        <v>739</v>
      </c>
      <c r="G74" s="1">
        <v>245</v>
      </c>
      <c r="H74" s="1">
        <v>181</v>
      </c>
      <c r="I74" s="1">
        <v>0</v>
      </c>
      <c r="J74" t="str">
        <f t="shared" si="1"/>
        <v>Outlier Atas</v>
      </c>
      <c r="K74" s="3" t="s">
        <v>187</v>
      </c>
      <c r="L74" s="9">
        <f>L54 - (1.5 * L69)</f>
        <v>2084.5</v>
      </c>
      <c r="M74" s="13" t="s">
        <v>190</v>
      </c>
      <c r="N74" s="13"/>
      <c r="O74" s="13"/>
    </row>
    <row r="75" spans="1:15" x14ac:dyDescent="0.2">
      <c r="A75" s="1">
        <v>72</v>
      </c>
      <c r="B75" s="1" t="s">
        <v>81</v>
      </c>
      <c r="C75" s="2">
        <v>5525</v>
      </c>
      <c r="D75" s="2">
        <v>1044</v>
      </c>
      <c r="E75" s="2">
        <v>1303</v>
      </c>
      <c r="F75" s="1">
        <v>673</v>
      </c>
      <c r="G75" s="1">
        <v>416</v>
      </c>
      <c r="H75" s="1">
        <v>133</v>
      </c>
      <c r="I75" s="1">
        <v>152</v>
      </c>
      <c r="J75" t="str">
        <f t="shared" si="1"/>
        <v>Outlier Atas</v>
      </c>
      <c r="K75" s="3" t="s">
        <v>188</v>
      </c>
      <c r="L75" s="9">
        <f>L64 + (1.5 * L69)</f>
        <v>8644.5</v>
      </c>
      <c r="M75" s="13"/>
      <c r="N75" s="13"/>
      <c r="O75" s="13"/>
    </row>
    <row r="76" spans="1:15" x14ac:dyDescent="0.2">
      <c r="A76" s="1">
        <v>73</v>
      </c>
      <c r="B76" s="1" t="s">
        <v>82</v>
      </c>
      <c r="C76" s="2">
        <v>5523</v>
      </c>
      <c r="D76" s="2">
        <v>1051</v>
      </c>
      <c r="E76" s="2">
        <v>1361</v>
      </c>
      <c r="F76" s="1">
        <v>871</v>
      </c>
      <c r="G76" s="1">
        <v>197</v>
      </c>
      <c r="H76" s="1">
        <v>142</v>
      </c>
      <c r="I76" s="1">
        <v>80</v>
      </c>
      <c r="J76" t="str">
        <f t="shared" si="1"/>
        <v>Outlier Atas</v>
      </c>
      <c r="K76" s="4"/>
      <c r="L76" s="9"/>
      <c r="M76" s="4"/>
      <c r="N76" s="4"/>
      <c r="O76" s="4"/>
    </row>
    <row r="77" spans="1:15" x14ac:dyDescent="0.2">
      <c r="A77" s="1">
        <v>74</v>
      </c>
      <c r="B77" s="1" t="s">
        <v>83</v>
      </c>
      <c r="C77" s="2">
        <v>5467</v>
      </c>
      <c r="D77" s="1">
        <v>493</v>
      </c>
      <c r="E77" s="2">
        <v>1098</v>
      </c>
      <c r="F77" s="1">
        <v>718</v>
      </c>
      <c r="G77" s="1">
        <v>389</v>
      </c>
      <c r="H77" s="1">
        <v>230</v>
      </c>
      <c r="I77" s="1">
        <v>144</v>
      </c>
      <c r="J77" t="str">
        <f t="shared" si="1"/>
        <v>Outlier Atas</v>
      </c>
      <c r="K77" s="3" t="s">
        <v>187</v>
      </c>
      <c r="L77" s="9">
        <f>L55 - (1.5 * L70)</f>
        <v>-100.5</v>
      </c>
      <c r="M77" s="13" t="s">
        <v>189</v>
      </c>
      <c r="N77" s="13"/>
      <c r="O77" s="13"/>
    </row>
    <row r="78" spans="1:15" x14ac:dyDescent="0.2">
      <c r="A78" s="1">
        <v>75</v>
      </c>
      <c r="B78" s="1" t="s">
        <v>84</v>
      </c>
      <c r="C78" s="2">
        <v>5432</v>
      </c>
      <c r="D78" s="2">
        <v>1155</v>
      </c>
      <c r="E78" s="2">
        <v>1266</v>
      </c>
      <c r="F78" s="1">
        <v>914</v>
      </c>
      <c r="G78" s="1">
        <v>296</v>
      </c>
      <c r="H78" s="1">
        <v>119</v>
      </c>
      <c r="I78" s="1">
        <v>22</v>
      </c>
      <c r="J78" t="str">
        <f t="shared" si="1"/>
        <v>Outlier Atas</v>
      </c>
      <c r="K78" s="3" t="s">
        <v>188</v>
      </c>
      <c r="L78" s="9">
        <f>L65 + (1.5 * L70)</f>
        <v>457.5</v>
      </c>
      <c r="M78" s="13"/>
      <c r="N78" s="13"/>
      <c r="O78" s="13"/>
    </row>
    <row r="79" spans="1:15" x14ac:dyDescent="0.2">
      <c r="A79" s="1">
        <v>76</v>
      </c>
      <c r="B79" s="1" t="s">
        <v>85</v>
      </c>
      <c r="C79" s="2">
        <v>5430</v>
      </c>
      <c r="D79" s="2">
        <v>1438</v>
      </c>
      <c r="E79" s="2">
        <v>1277</v>
      </c>
      <c r="F79" s="2">
        <v>1122</v>
      </c>
      <c r="G79" s="1">
        <v>440</v>
      </c>
      <c r="H79" s="1">
        <v>258</v>
      </c>
      <c r="I79" s="1">
        <v>287</v>
      </c>
      <c r="J79" t="str">
        <f t="shared" si="1"/>
        <v>Outlier Atas</v>
      </c>
    </row>
    <row r="80" spans="1:15" x14ac:dyDescent="0.2">
      <c r="A80" s="1">
        <v>77</v>
      </c>
      <c r="B80" s="1" t="s">
        <v>86</v>
      </c>
      <c r="C80" s="2">
        <v>5425</v>
      </c>
      <c r="D80" s="2">
        <v>1015</v>
      </c>
      <c r="E80" s="2">
        <v>1401</v>
      </c>
      <c r="F80" s="1">
        <v>779</v>
      </c>
      <c r="G80" s="1">
        <v>497</v>
      </c>
      <c r="H80" s="1">
        <v>113</v>
      </c>
      <c r="I80" s="1">
        <v>101</v>
      </c>
      <c r="J80" t="str">
        <f t="shared" si="1"/>
        <v>Outlier Atas</v>
      </c>
    </row>
    <row r="81" spans="1:10" x14ac:dyDescent="0.2">
      <c r="A81" s="1">
        <v>78</v>
      </c>
      <c r="B81" s="1" t="s">
        <v>87</v>
      </c>
      <c r="C81" s="2">
        <v>5386</v>
      </c>
      <c r="D81" s="1">
        <v>945</v>
      </c>
      <c r="E81" s="2">
        <v>1212</v>
      </c>
      <c r="F81" s="1">
        <v>845</v>
      </c>
      <c r="G81" s="1">
        <v>212</v>
      </c>
      <c r="H81" s="1">
        <v>263</v>
      </c>
      <c r="I81" s="1">
        <v>6</v>
      </c>
      <c r="J81" t="str">
        <f t="shared" si="1"/>
        <v>Outlier Atas</v>
      </c>
    </row>
    <row r="82" spans="1:10" x14ac:dyDescent="0.2">
      <c r="A82" s="1">
        <v>79</v>
      </c>
      <c r="B82" s="1" t="s">
        <v>88</v>
      </c>
      <c r="C82" s="2">
        <v>5373</v>
      </c>
      <c r="D82" s="2">
        <v>1183</v>
      </c>
      <c r="E82" s="2">
        <v>1360</v>
      </c>
      <c r="F82" s="1">
        <v>808</v>
      </c>
      <c r="G82" s="1">
        <v>195</v>
      </c>
      <c r="H82" s="1">
        <v>83</v>
      </c>
      <c r="I82" s="1">
        <v>106</v>
      </c>
      <c r="J82" t="str">
        <f t="shared" si="1"/>
        <v>Outlier Atas</v>
      </c>
    </row>
    <row r="83" spans="1:10" x14ac:dyDescent="0.2">
      <c r="A83" s="1">
        <v>80</v>
      </c>
      <c r="B83" s="1" t="s">
        <v>89</v>
      </c>
      <c r="C83" s="2">
        <v>5339</v>
      </c>
      <c r="D83" s="2">
        <v>1221</v>
      </c>
      <c r="E83" s="2">
        <v>1171</v>
      </c>
      <c r="F83" s="1">
        <v>828</v>
      </c>
      <c r="G83" s="1">
        <v>508</v>
      </c>
      <c r="H83" s="1">
        <v>260</v>
      </c>
      <c r="I83" s="1">
        <v>24</v>
      </c>
      <c r="J83" t="str">
        <f t="shared" si="1"/>
        <v>Outlier Atas</v>
      </c>
    </row>
    <row r="84" spans="1:10" x14ac:dyDescent="0.2">
      <c r="A84" s="1">
        <v>81</v>
      </c>
      <c r="B84" s="1" t="s">
        <v>90</v>
      </c>
      <c r="C84" s="2">
        <v>5323</v>
      </c>
      <c r="D84" s="2">
        <v>1067</v>
      </c>
      <c r="E84" s="2">
        <v>1465</v>
      </c>
      <c r="F84" s="1">
        <v>789</v>
      </c>
      <c r="G84" s="1">
        <v>235</v>
      </c>
      <c r="H84" s="1">
        <v>94</v>
      </c>
      <c r="I84" s="1">
        <v>142</v>
      </c>
      <c r="J84" t="str">
        <f t="shared" si="1"/>
        <v>Outlier Atas</v>
      </c>
    </row>
    <row r="85" spans="1:10" x14ac:dyDescent="0.2">
      <c r="A85" s="1">
        <v>82</v>
      </c>
      <c r="B85" s="1" t="s">
        <v>91</v>
      </c>
      <c r="C85" s="2">
        <v>5287</v>
      </c>
      <c r="D85" s="2">
        <v>1181</v>
      </c>
      <c r="E85" s="2">
        <v>1156</v>
      </c>
      <c r="F85" s="1">
        <v>999</v>
      </c>
      <c r="G85" s="1">
        <v>67</v>
      </c>
      <c r="H85" s="1">
        <v>0</v>
      </c>
      <c r="I85" s="1">
        <v>34</v>
      </c>
      <c r="J85" t="str">
        <f t="shared" si="1"/>
        <v>Outlier Atas</v>
      </c>
    </row>
    <row r="86" spans="1:10" x14ac:dyDescent="0.2">
      <c r="A86" s="1">
        <v>83</v>
      </c>
      <c r="B86" s="1" t="s">
        <v>92</v>
      </c>
      <c r="C86" s="2">
        <v>5285</v>
      </c>
      <c r="D86" s="1">
        <v>948</v>
      </c>
      <c r="E86" s="2">
        <v>1531</v>
      </c>
      <c r="F86" s="1">
        <v>667</v>
      </c>
      <c r="G86" s="1">
        <v>317</v>
      </c>
      <c r="H86" s="1">
        <v>235</v>
      </c>
      <c r="I86" s="1">
        <v>38</v>
      </c>
      <c r="J86" t="str">
        <f t="shared" si="1"/>
        <v>Outlier Atas</v>
      </c>
    </row>
    <row r="87" spans="1:10" x14ac:dyDescent="0.2">
      <c r="A87" s="1">
        <v>84</v>
      </c>
      <c r="B87" s="1" t="s">
        <v>93</v>
      </c>
      <c r="C87" s="2">
        <v>5274</v>
      </c>
      <c r="D87" s="1">
        <v>983</v>
      </c>
      <c r="E87" s="2">
        <v>1294</v>
      </c>
      <c r="F87" s="1">
        <v>838</v>
      </c>
      <c r="G87" s="1">
        <v>345</v>
      </c>
      <c r="H87" s="1">
        <v>185</v>
      </c>
      <c r="I87" s="1">
        <v>34</v>
      </c>
      <c r="J87" t="str">
        <f t="shared" si="1"/>
        <v>Outlier Atas</v>
      </c>
    </row>
    <row r="88" spans="1:10" x14ac:dyDescent="0.2">
      <c r="A88" s="1">
        <v>85</v>
      </c>
      <c r="B88" s="1" t="s">
        <v>94</v>
      </c>
      <c r="C88" s="2">
        <v>5265</v>
      </c>
      <c r="D88" s="1">
        <v>696</v>
      </c>
      <c r="E88" s="2">
        <v>1111</v>
      </c>
      <c r="F88" s="1">
        <v>245</v>
      </c>
      <c r="G88" s="1">
        <v>426</v>
      </c>
      <c r="H88" s="1">
        <v>215</v>
      </c>
      <c r="I88" s="1">
        <v>41</v>
      </c>
      <c r="J88" t="str">
        <f t="shared" si="1"/>
        <v>Outlier Atas</v>
      </c>
    </row>
    <row r="89" spans="1:10" x14ac:dyDescent="0.2">
      <c r="A89" s="1">
        <v>86</v>
      </c>
      <c r="B89" s="1" t="s">
        <v>95</v>
      </c>
      <c r="C89" s="2">
        <v>5261</v>
      </c>
      <c r="D89" s="1">
        <v>551</v>
      </c>
      <c r="E89" s="2">
        <v>1438</v>
      </c>
      <c r="F89" s="1">
        <v>723</v>
      </c>
      <c r="G89" s="1">
        <v>508</v>
      </c>
      <c r="H89" s="1">
        <v>300</v>
      </c>
      <c r="I89" s="1">
        <v>23</v>
      </c>
      <c r="J89" t="str">
        <f t="shared" si="1"/>
        <v>Outlier Atas</v>
      </c>
    </row>
    <row r="90" spans="1:10" x14ac:dyDescent="0.2">
      <c r="A90" s="1">
        <v>87</v>
      </c>
      <c r="B90" s="1" t="s">
        <v>96</v>
      </c>
      <c r="C90" s="2">
        <v>5247</v>
      </c>
      <c r="D90" s="2">
        <v>1052</v>
      </c>
      <c r="E90" s="2">
        <v>1538</v>
      </c>
      <c r="F90" s="1">
        <v>657</v>
      </c>
      <c r="G90" s="1">
        <v>394</v>
      </c>
      <c r="H90" s="1">
        <v>244</v>
      </c>
      <c r="I90" s="1">
        <v>28</v>
      </c>
      <c r="J90" t="str">
        <f t="shared" si="1"/>
        <v>Outlier Atas</v>
      </c>
    </row>
    <row r="91" spans="1:10" x14ac:dyDescent="0.2">
      <c r="A91" s="1">
        <v>88</v>
      </c>
      <c r="B91" s="1" t="s">
        <v>97</v>
      </c>
      <c r="C91" s="2">
        <v>5211</v>
      </c>
      <c r="D91" s="2">
        <v>1002</v>
      </c>
      <c r="E91" s="2">
        <v>1160</v>
      </c>
      <c r="F91" s="1">
        <v>785</v>
      </c>
      <c r="G91" s="1">
        <v>86</v>
      </c>
      <c r="H91" s="1">
        <v>73</v>
      </c>
      <c r="I91" s="1">
        <v>114</v>
      </c>
      <c r="J91" t="str">
        <f t="shared" si="1"/>
        <v>Outlier Atas</v>
      </c>
    </row>
    <row r="92" spans="1:10" x14ac:dyDescent="0.2">
      <c r="A92" s="1">
        <v>89</v>
      </c>
      <c r="B92" s="1" t="s">
        <v>98</v>
      </c>
      <c r="C92" s="2">
        <v>5208</v>
      </c>
      <c r="D92" s="1">
        <v>801</v>
      </c>
      <c r="E92" s="1">
        <v>782</v>
      </c>
      <c r="F92" s="1">
        <v>782</v>
      </c>
      <c r="G92" s="1">
        <v>418</v>
      </c>
      <c r="H92" s="1">
        <v>36</v>
      </c>
      <c r="I92" s="1">
        <v>76</v>
      </c>
      <c r="J92" t="str">
        <f t="shared" si="1"/>
        <v>Outlier Atas</v>
      </c>
    </row>
    <row r="93" spans="1:10" x14ac:dyDescent="0.2">
      <c r="A93" s="1">
        <v>90</v>
      </c>
      <c r="B93" s="1" t="s">
        <v>99</v>
      </c>
      <c r="C93" s="2">
        <v>5208</v>
      </c>
      <c r="D93" s="2">
        <v>1043</v>
      </c>
      <c r="E93" s="2">
        <v>1147</v>
      </c>
      <c r="F93" s="1">
        <v>769</v>
      </c>
      <c r="G93" s="1">
        <v>351</v>
      </c>
      <c r="H93" s="1">
        <v>35</v>
      </c>
      <c r="I93" s="1">
        <v>182</v>
      </c>
      <c r="J93" t="str">
        <f t="shared" si="1"/>
        <v>Outlier Atas</v>
      </c>
    </row>
    <row r="94" spans="1:10" x14ac:dyDescent="0.2">
      <c r="A94" s="1">
        <v>91</v>
      </c>
      <c r="B94" s="1" t="s">
        <v>100</v>
      </c>
      <c r="C94" s="2">
        <v>5197</v>
      </c>
      <c r="D94" s="1">
        <v>987</v>
      </c>
      <c r="E94" s="2">
        <v>1224</v>
      </c>
      <c r="F94" s="1">
        <v>815</v>
      </c>
      <c r="G94" s="1">
        <v>216</v>
      </c>
      <c r="H94" s="1">
        <v>166</v>
      </c>
      <c r="I94" s="1">
        <v>27</v>
      </c>
      <c r="J94" t="str">
        <f t="shared" si="1"/>
        <v>Outlier Atas</v>
      </c>
    </row>
    <row r="95" spans="1:10" x14ac:dyDescent="0.2">
      <c r="A95" s="1">
        <v>92</v>
      </c>
      <c r="B95" s="1" t="s">
        <v>101</v>
      </c>
      <c r="C95" s="2">
        <v>5192</v>
      </c>
      <c r="D95" s="1">
        <v>931</v>
      </c>
      <c r="E95" s="2">
        <v>1203</v>
      </c>
      <c r="F95" s="1">
        <v>660</v>
      </c>
      <c r="G95" s="1">
        <v>491</v>
      </c>
      <c r="H95" s="1">
        <v>498</v>
      </c>
      <c r="I95" s="1">
        <v>28</v>
      </c>
      <c r="J95" t="str">
        <f t="shared" si="1"/>
        <v>Outlier Atas</v>
      </c>
    </row>
    <row r="96" spans="1:10" x14ac:dyDescent="0.2">
      <c r="A96" s="1">
        <v>93</v>
      </c>
      <c r="B96" s="1" t="s">
        <v>102</v>
      </c>
      <c r="C96" s="2">
        <v>5191</v>
      </c>
      <c r="D96" s="2">
        <v>1029</v>
      </c>
      <c r="E96" s="2">
        <v>1125</v>
      </c>
      <c r="F96" s="1">
        <v>893</v>
      </c>
      <c r="G96" s="1">
        <v>521</v>
      </c>
      <c r="H96" s="1">
        <v>58</v>
      </c>
      <c r="I96" s="1">
        <v>100</v>
      </c>
      <c r="J96" t="str">
        <f t="shared" si="1"/>
        <v>Outlier Atas</v>
      </c>
    </row>
    <row r="97" spans="1:10" x14ac:dyDescent="0.2">
      <c r="A97" s="1">
        <v>94</v>
      </c>
      <c r="B97" s="1" t="s">
        <v>103</v>
      </c>
      <c r="C97" s="2">
        <v>5175</v>
      </c>
      <c r="D97" s="1">
        <v>741</v>
      </c>
      <c r="E97" s="2">
        <v>1346</v>
      </c>
      <c r="F97" s="1">
        <v>851</v>
      </c>
      <c r="G97" s="1">
        <v>543</v>
      </c>
      <c r="H97" s="1">
        <v>147</v>
      </c>
      <c r="I97" s="1">
        <v>73</v>
      </c>
      <c r="J97" t="str">
        <f t="shared" si="1"/>
        <v>Outlier Atas</v>
      </c>
    </row>
    <row r="98" spans="1:10" x14ac:dyDescent="0.2">
      <c r="A98" s="1">
        <v>95</v>
      </c>
      <c r="B98" s="1" t="s">
        <v>104</v>
      </c>
      <c r="C98" s="2">
        <v>5082</v>
      </c>
      <c r="D98" s="1">
        <v>813</v>
      </c>
      <c r="E98" s="2">
        <v>1321</v>
      </c>
      <c r="F98" s="1">
        <v>604</v>
      </c>
      <c r="G98" s="1">
        <v>457</v>
      </c>
      <c r="H98" s="1">
        <v>370</v>
      </c>
      <c r="I98" s="1">
        <v>167</v>
      </c>
      <c r="J98" t="str">
        <f t="shared" si="1"/>
        <v>Outlier Atas</v>
      </c>
    </row>
    <row r="99" spans="1:10" x14ac:dyDescent="0.2">
      <c r="A99" s="1">
        <v>96</v>
      </c>
      <c r="B99" s="1" t="s">
        <v>105</v>
      </c>
      <c r="C99" s="2">
        <v>5044</v>
      </c>
      <c r="D99" s="1">
        <v>549</v>
      </c>
      <c r="E99" s="1">
        <v>910</v>
      </c>
      <c r="F99" s="1">
        <v>331</v>
      </c>
      <c r="G99" s="1">
        <v>381</v>
      </c>
      <c r="H99" s="1">
        <v>187</v>
      </c>
      <c r="I99" s="1">
        <v>37</v>
      </c>
      <c r="J99" t="str">
        <f t="shared" si="1"/>
        <v>Outlier Atas</v>
      </c>
    </row>
    <row r="100" spans="1:10" x14ac:dyDescent="0.2">
      <c r="A100" s="1">
        <v>97</v>
      </c>
      <c r="B100" s="1" t="s">
        <v>106</v>
      </c>
      <c r="C100" s="2">
        <v>5011</v>
      </c>
      <c r="D100" s="2">
        <v>1092</v>
      </c>
      <c r="E100" s="2">
        <v>1513</v>
      </c>
      <c r="F100" s="1">
        <v>815</v>
      </c>
      <c r="G100" s="1">
        <v>311</v>
      </c>
      <c r="H100" s="1">
        <v>81</v>
      </c>
      <c r="I100" s="1">
        <v>4</v>
      </c>
      <c r="J100" t="str">
        <f t="shared" si="1"/>
        <v>Outlier Atas</v>
      </c>
    </row>
    <row r="101" spans="1:10" x14ac:dyDescent="0.2">
      <c r="A101" s="1">
        <v>98</v>
      </c>
      <c r="B101" s="1" t="s">
        <v>107</v>
      </c>
      <c r="C101" s="2">
        <v>4996</v>
      </c>
      <c r="D101" s="1">
        <v>611</v>
      </c>
      <c r="E101" s="1">
        <v>868</v>
      </c>
      <c r="F101" s="1">
        <v>486</v>
      </c>
      <c r="G101" s="1">
        <v>381</v>
      </c>
      <c r="H101" s="1">
        <v>245</v>
      </c>
      <c r="I101" s="1">
        <v>40</v>
      </c>
      <c r="J101" t="str">
        <f t="shared" si="1"/>
        <v>Outlier Atas</v>
      </c>
    </row>
    <row r="102" spans="1:10" x14ac:dyDescent="0.2">
      <c r="A102" s="1">
        <v>99</v>
      </c>
      <c r="B102" s="1" t="s">
        <v>108</v>
      </c>
      <c r="C102" s="2">
        <v>4944</v>
      </c>
      <c r="D102" s="1">
        <v>569</v>
      </c>
      <c r="E102" s="1">
        <v>808</v>
      </c>
      <c r="F102" s="1">
        <v>232</v>
      </c>
      <c r="G102" s="1">
        <v>352</v>
      </c>
      <c r="H102" s="1">
        <v>154</v>
      </c>
      <c r="I102" s="1">
        <v>90</v>
      </c>
      <c r="J102" t="str">
        <f t="shared" si="1"/>
        <v>Outlier Atas</v>
      </c>
    </row>
    <row r="103" spans="1:10" x14ac:dyDescent="0.2">
      <c r="A103" s="1">
        <v>100</v>
      </c>
      <c r="B103" s="1" t="s">
        <v>109</v>
      </c>
      <c r="C103" s="2">
        <v>4913</v>
      </c>
      <c r="D103" s="1">
        <v>446</v>
      </c>
      <c r="E103" s="2">
        <v>1226</v>
      </c>
      <c r="F103" s="1">
        <v>677</v>
      </c>
      <c r="G103" s="1">
        <v>439</v>
      </c>
      <c r="H103" s="1">
        <v>285</v>
      </c>
      <c r="I103" s="1">
        <v>89</v>
      </c>
      <c r="J103" t="str">
        <f t="shared" si="1"/>
        <v>Outlier Atas</v>
      </c>
    </row>
    <row r="104" spans="1:10" x14ac:dyDescent="0.2">
      <c r="A104" s="1">
        <v>101</v>
      </c>
      <c r="B104" s="1" t="s">
        <v>110</v>
      </c>
      <c r="C104" s="2">
        <v>4906</v>
      </c>
      <c r="D104" s="1">
        <v>837</v>
      </c>
      <c r="E104" s="2">
        <v>1225</v>
      </c>
      <c r="F104" s="1">
        <v>815</v>
      </c>
      <c r="G104" s="1">
        <v>383</v>
      </c>
      <c r="H104" s="1">
        <v>110</v>
      </c>
      <c r="I104" s="1">
        <v>130</v>
      </c>
      <c r="J104" t="str">
        <f t="shared" si="1"/>
        <v>Outlier Atas</v>
      </c>
    </row>
    <row r="105" spans="1:10" x14ac:dyDescent="0.2">
      <c r="A105" s="1">
        <v>102</v>
      </c>
      <c r="B105" s="1" t="s">
        <v>111</v>
      </c>
      <c r="C105" s="2">
        <v>4883</v>
      </c>
      <c r="D105" s="1">
        <v>393</v>
      </c>
      <c r="E105" s="1">
        <v>437</v>
      </c>
      <c r="F105" s="1">
        <v>397</v>
      </c>
      <c r="G105" s="1">
        <v>349</v>
      </c>
      <c r="H105" s="1">
        <v>175</v>
      </c>
      <c r="I105" s="1">
        <v>82</v>
      </c>
      <c r="J105" t="str">
        <f t="shared" si="1"/>
        <v>Outlier Atas</v>
      </c>
    </row>
    <row r="106" spans="1:10" x14ac:dyDescent="0.2">
      <c r="A106" s="1">
        <v>103</v>
      </c>
      <c r="B106" s="1" t="s">
        <v>112</v>
      </c>
      <c r="C106" s="2">
        <v>4812</v>
      </c>
      <c r="D106" s="1">
        <v>673</v>
      </c>
      <c r="E106" s="1">
        <v>799</v>
      </c>
      <c r="F106" s="1">
        <v>508</v>
      </c>
      <c r="G106" s="1">
        <v>372</v>
      </c>
      <c r="H106" s="1">
        <v>105</v>
      </c>
      <c r="I106" s="1">
        <v>93</v>
      </c>
      <c r="J106" t="str">
        <f t="shared" si="1"/>
        <v>Outlier Atas</v>
      </c>
    </row>
    <row r="107" spans="1:10" x14ac:dyDescent="0.2">
      <c r="A107" s="1">
        <v>104</v>
      </c>
      <c r="B107" s="1" t="s">
        <v>113</v>
      </c>
      <c r="C107" s="2">
        <v>4799</v>
      </c>
      <c r="D107" s="2">
        <v>1057</v>
      </c>
      <c r="E107" s="2">
        <v>1183</v>
      </c>
      <c r="F107" s="1">
        <v>571</v>
      </c>
      <c r="G107" s="1">
        <v>295</v>
      </c>
      <c r="H107" s="1">
        <v>43</v>
      </c>
      <c r="I107" s="1">
        <v>55</v>
      </c>
      <c r="J107" t="str">
        <f t="shared" si="1"/>
        <v>Outlier Atas</v>
      </c>
    </row>
    <row r="108" spans="1:10" x14ac:dyDescent="0.2">
      <c r="A108" s="1">
        <v>105</v>
      </c>
      <c r="B108" s="1" t="s">
        <v>114</v>
      </c>
      <c r="C108" s="2">
        <v>4796</v>
      </c>
      <c r="D108" s="1">
        <v>764</v>
      </c>
      <c r="E108" s="2">
        <v>1030</v>
      </c>
      <c r="F108" s="1">
        <v>551</v>
      </c>
      <c r="G108" s="1">
        <v>547</v>
      </c>
      <c r="H108" s="1">
        <v>266</v>
      </c>
      <c r="I108" s="1">
        <v>164</v>
      </c>
      <c r="J108" t="str">
        <f t="shared" si="1"/>
        <v>Outlier Atas</v>
      </c>
    </row>
    <row r="109" spans="1:10" x14ac:dyDescent="0.2">
      <c r="A109" s="1">
        <v>106</v>
      </c>
      <c r="B109" s="1" t="s">
        <v>115</v>
      </c>
      <c r="C109" s="2">
        <v>4722</v>
      </c>
      <c r="D109" s="1">
        <v>960</v>
      </c>
      <c r="E109" s="2">
        <v>1351</v>
      </c>
      <c r="F109" s="1">
        <v>469</v>
      </c>
      <c r="G109" s="1">
        <v>389</v>
      </c>
      <c r="H109" s="1">
        <v>130</v>
      </c>
      <c r="I109" s="1">
        <v>55</v>
      </c>
      <c r="J109" t="str">
        <f t="shared" si="1"/>
        <v>Outlier Atas</v>
      </c>
    </row>
    <row r="110" spans="1:10" x14ac:dyDescent="0.2">
      <c r="A110" s="1">
        <v>107</v>
      </c>
      <c r="B110" s="1" t="s">
        <v>116</v>
      </c>
      <c r="C110" s="2">
        <v>4719</v>
      </c>
      <c r="D110" s="1">
        <v>947</v>
      </c>
      <c r="E110" s="1">
        <v>848</v>
      </c>
      <c r="F110" s="1">
        <v>874</v>
      </c>
      <c r="G110" s="1">
        <v>383</v>
      </c>
      <c r="H110" s="1">
        <v>178</v>
      </c>
      <c r="I110" s="1">
        <v>27</v>
      </c>
      <c r="J110" t="str">
        <f t="shared" si="1"/>
        <v>Outlier Atas</v>
      </c>
    </row>
    <row r="111" spans="1:10" x14ac:dyDescent="0.2">
      <c r="A111" s="1">
        <v>108</v>
      </c>
      <c r="B111" s="1" t="s">
        <v>117</v>
      </c>
      <c r="C111" s="2">
        <v>4707</v>
      </c>
      <c r="D111" s="1">
        <v>960</v>
      </c>
      <c r="E111" s="2">
        <v>1427</v>
      </c>
      <c r="F111" s="1">
        <v>805</v>
      </c>
      <c r="G111" s="1">
        <v>154</v>
      </c>
      <c r="H111" s="1">
        <v>64</v>
      </c>
      <c r="I111" s="1">
        <v>47</v>
      </c>
      <c r="J111" t="str">
        <f t="shared" si="1"/>
        <v>Outlier Atas</v>
      </c>
    </row>
    <row r="112" spans="1:10" x14ac:dyDescent="0.2">
      <c r="A112" s="1">
        <v>109</v>
      </c>
      <c r="B112" s="1" t="s">
        <v>118</v>
      </c>
      <c r="C112" s="2">
        <v>4700</v>
      </c>
      <c r="D112" s="1">
        <v>574</v>
      </c>
      <c r="E112" s="2">
        <v>1122</v>
      </c>
      <c r="F112" s="1">
        <v>637</v>
      </c>
      <c r="G112" s="1">
        <v>609</v>
      </c>
      <c r="H112" s="1">
        <v>232</v>
      </c>
      <c r="I112" s="1">
        <v>62</v>
      </c>
      <c r="J112" t="str">
        <f t="shared" si="1"/>
        <v>Outlier Atas</v>
      </c>
    </row>
    <row r="113" spans="1:10" x14ac:dyDescent="0.2">
      <c r="A113" s="1">
        <v>110</v>
      </c>
      <c r="B113" s="1" t="s">
        <v>119</v>
      </c>
      <c r="C113" s="2">
        <v>4696</v>
      </c>
      <c r="D113" s="1">
        <v>657</v>
      </c>
      <c r="E113" s="2">
        <v>1247</v>
      </c>
      <c r="F113" s="1">
        <v>672</v>
      </c>
      <c r="G113" s="1">
        <v>225</v>
      </c>
      <c r="H113" s="1">
        <v>103</v>
      </c>
      <c r="I113" s="1">
        <v>66</v>
      </c>
      <c r="J113" t="str">
        <f t="shared" si="1"/>
        <v>Outlier Atas</v>
      </c>
    </row>
    <row r="114" spans="1:10" x14ac:dyDescent="0.2">
      <c r="A114" s="1">
        <v>111</v>
      </c>
      <c r="B114" s="1" t="s">
        <v>120</v>
      </c>
      <c r="C114" s="2">
        <v>4681</v>
      </c>
      <c r="D114" s="1">
        <v>450</v>
      </c>
      <c r="E114" s="2">
        <v>1134</v>
      </c>
      <c r="F114" s="1">
        <v>571</v>
      </c>
      <c r="G114" s="1">
        <v>292</v>
      </c>
      <c r="H114" s="1">
        <v>153</v>
      </c>
      <c r="I114" s="1">
        <v>72</v>
      </c>
      <c r="J114" t="str">
        <f t="shared" si="1"/>
        <v>Outlier Atas</v>
      </c>
    </row>
    <row r="115" spans="1:10" x14ac:dyDescent="0.2">
      <c r="A115" s="1">
        <v>112</v>
      </c>
      <c r="B115" s="1" t="s">
        <v>121</v>
      </c>
      <c r="C115" s="2">
        <v>4668</v>
      </c>
      <c r="D115" s="1">
        <v>0</v>
      </c>
      <c r="E115" s="1">
        <v>698</v>
      </c>
      <c r="F115" s="1">
        <v>268</v>
      </c>
      <c r="G115" s="1">
        <v>559</v>
      </c>
      <c r="H115" s="1">
        <v>243</v>
      </c>
      <c r="I115" s="1">
        <v>270</v>
      </c>
      <c r="J115" t="str">
        <f t="shared" si="1"/>
        <v>Outlier Atas</v>
      </c>
    </row>
    <row r="116" spans="1:10" x14ac:dyDescent="0.2">
      <c r="A116" s="1">
        <v>113</v>
      </c>
      <c r="B116" s="1" t="s">
        <v>122</v>
      </c>
      <c r="C116" s="2">
        <v>4639</v>
      </c>
      <c r="D116" s="1">
        <v>879</v>
      </c>
      <c r="E116" s="2">
        <v>1313</v>
      </c>
      <c r="F116" s="1">
        <v>477</v>
      </c>
      <c r="G116" s="1">
        <v>401</v>
      </c>
      <c r="H116" s="1">
        <v>70</v>
      </c>
      <c r="I116" s="1">
        <v>56</v>
      </c>
      <c r="J116" t="str">
        <f t="shared" si="1"/>
        <v>Outlier Atas</v>
      </c>
    </row>
    <row r="117" spans="1:10" x14ac:dyDescent="0.2">
      <c r="A117" s="1">
        <v>114</v>
      </c>
      <c r="B117" s="1" t="s">
        <v>123</v>
      </c>
      <c r="C117" s="2">
        <v>4628</v>
      </c>
      <c r="D117" s="1">
        <v>138</v>
      </c>
      <c r="E117" s="1">
        <v>774</v>
      </c>
      <c r="F117" s="1">
        <v>366</v>
      </c>
      <c r="G117" s="1">
        <v>318</v>
      </c>
      <c r="H117" s="1">
        <v>188</v>
      </c>
      <c r="I117" s="1">
        <v>102</v>
      </c>
      <c r="J117" t="str">
        <f t="shared" si="1"/>
        <v>Outlier Atas</v>
      </c>
    </row>
    <row r="118" spans="1:10" x14ac:dyDescent="0.2">
      <c r="A118" s="1">
        <v>115</v>
      </c>
      <c r="B118" s="1" t="s">
        <v>124</v>
      </c>
      <c r="C118" s="2">
        <v>4587</v>
      </c>
      <c r="D118" s="1">
        <v>331</v>
      </c>
      <c r="E118" s="2">
        <v>1056</v>
      </c>
      <c r="F118" s="1">
        <v>380</v>
      </c>
      <c r="G118" s="1">
        <v>255</v>
      </c>
      <c r="H118" s="1">
        <v>177</v>
      </c>
      <c r="I118" s="1">
        <v>113</v>
      </c>
      <c r="J118" t="str">
        <f t="shared" si="1"/>
        <v>Outlier Atas</v>
      </c>
    </row>
    <row r="119" spans="1:10" x14ac:dyDescent="0.2">
      <c r="A119" s="1">
        <v>116</v>
      </c>
      <c r="B119" s="1" t="s">
        <v>125</v>
      </c>
      <c r="C119" s="2">
        <v>4559</v>
      </c>
      <c r="D119" s="1">
        <v>850</v>
      </c>
      <c r="E119" s="2">
        <v>1055</v>
      </c>
      <c r="F119" s="1">
        <v>815</v>
      </c>
      <c r="G119" s="1">
        <v>283</v>
      </c>
      <c r="H119" s="1">
        <v>95</v>
      </c>
      <c r="I119" s="1">
        <v>64</v>
      </c>
      <c r="J119" t="str">
        <f t="shared" si="1"/>
        <v>Outlier Atas</v>
      </c>
    </row>
    <row r="120" spans="1:10" x14ac:dyDescent="0.2">
      <c r="A120" s="1">
        <v>117</v>
      </c>
      <c r="B120" s="1" t="s">
        <v>126</v>
      </c>
      <c r="C120" s="2">
        <v>4548</v>
      </c>
      <c r="D120" s="2">
        <v>1100</v>
      </c>
      <c r="E120" s="1">
        <v>842</v>
      </c>
      <c r="F120" s="1">
        <v>785</v>
      </c>
      <c r="G120" s="1">
        <v>305</v>
      </c>
      <c r="H120" s="1">
        <v>270</v>
      </c>
      <c r="I120" s="1">
        <v>125</v>
      </c>
      <c r="J120" t="str">
        <f t="shared" si="1"/>
        <v>Outlier Atas</v>
      </c>
    </row>
    <row r="121" spans="1:10" x14ac:dyDescent="0.2">
      <c r="A121" s="1">
        <v>118</v>
      </c>
      <c r="B121" s="1" t="s">
        <v>127</v>
      </c>
      <c r="C121" s="2">
        <v>4534</v>
      </c>
      <c r="D121" s="1">
        <v>380</v>
      </c>
      <c r="E121" s="1">
        <v>829</v>
      </c>
      <c r="F121" s="1">
        <v>375</v>
      </c>
      <c r="G121" s="1">
        <v>332</v>
      </c>
      <c r="H121" s="1">
        <v>207</v>
      </c>
      <c r="I121" s="1">
        <v>86</v>
      </c>
      <c r="J121" t="str">
        <f t="shared" si="1"/>
        <v>Outlier Atas</v>
      </c>
    </row>
    <row r="122" spans="1:10" x14ac:dyDescent="0.2">
      <c r="A122" s="1">
        <v>119</v>
      </c>
      <c r="B122" s="1" t="s">
        <v>128</v>
      </c>
      <c r="C122" s="2">
        <v>4519</v>
      </c>
      <c r="D122" s="1">
        <v>886</v>
      </c>
      <c r="E122" s="1">
        <v>666</v>
      </c>
      <c r="F122" s="1">
        <v>752</v>
      </c>
      <c r="G122" s="1">
        <v>346</v>
      </c>
      <c r="H122" s="1">
        <v>43</v>
      </c>
      <c r="I122" s="1">
        <v>164</v>
      </c>
      <c r="J122" t="str">
        <f t="shared" si="1"/>
        <v>Outlier Atas</v>
      </c>
    </row>
    <row r="123" spans="1:10" x14ac:dyDescent="0.2">
      <c r="A123" s="1">
        <v>120</v>
      </c>
      <c r="B123" s="1" t="s">
        <v>129</v>
      </c>
      <c r="C123" s="2">
        <v>4516</v>
      </c>
      <c r="D123" s="1">
        <v>308</v>
      </c>
      <c r="E123" s="1">
        <v>939</v>
      </c>
      <c r="F123" s="1">
        <v>428</v>
      </c>
      <c r="G123" s="1">
        <v>382</v>
      </c>
      <c r="H123" s="1">
        <v>269</v>
      </c>
      <c r="I123" s="1">
        <v>167</v>
      </c>
      <c r="J123" t="str">
        <f t="shared" si="1"/>
        <v>Outlier Atas</v>
      </c>
    </row>
    <row r="124" spans="1:10" x14ac:dyDescent="0.2">
      <c r="A124" s="1">
        <v>121</v>
      </c>
      <c r="B124" s="1" t="s">
        <v>130</v>
      </c>
      <c r="C124" s="2">
        <v>4509</v>
      </c>
      <c r="D124" s="1">
        <v>512</v>
      </c>
      <c r="E124" s="1">
        <v>983</v>
      </c>
      <c r="F124" s="1">
        <v>581</v>
      </c>
      <c r="G124" s="1">
        <v>431</v>
      </c>
      <c r="H124" s="1">
        <v>372</v>
      </c>
      <c r="I124" s="1">
        <v>53</v>
      </c>
      <c r="J124" t="str">
        <f t="shared" si="1"/>
        <v>Outlier Atas</v>
      </c>
    </row>
    <row r="125" spans="1:10" x14ac:dyDescent="0.2">
      <c r="A125" s="1">
        <v>122</v>
      </c>
      <c r="B125" s="1" t="s">
        <v>131</v>
      </c>
      <c r="C125" s="2">
        <v>4490</v>
      </c>
      <c r="D125" s="1">
        <v>570</v>
      </c>
      <c r="E125" s="2">
        <v>1167</v>
      </c>
      <c r="F125" s="1">
        <v>489</v>
      </c>
      <c r="G125" s="1">
        <v>66</v>
      </c>
      <c r="H125" s="1">
        <v>106</v>
      </c>
      <c r="I125" s="1">
        <v>88</v>
      </c>
      <c r="J125" t="str">
        <f t="shared" si="1"/>
        <v>Outlier Atas</v>
      </c>
    </row>
    <row r="126" spans="1:10" x14ac:dyDescent="0.2">
      <c r="A126" s="1">
        <v>123</v>
      </c>
      <c r="B126" s="1" t="s">
        <v>132</v>
      </c>
      <c r="C126" s="2">
        <v>4466</v>
      </c>
      <c r="D126" s="1">
        <v>204</v>
      </c>
      <c r="E126" s="1">
        <v>986</v>
      </c>
      <c r="F126" s="1">
        <v>390</v>
      </c>
      <c r="G126" s="1">
        <v>494</v>
      </c>
      <c r="H126" s="1">
        <v>197</v>
      </c>
      <c r="I126" s="1">
        <v>138</v>
      </c>
      <c r="J126" t="str">
        <f t="shared" si="1"/>
        <v>Outlier Atas</v>
      </c>
    </row>
    <row r="127" spans="1:10" x14ac:dyDescent="0.2">
      <c r="A127" s="1">
        <v>124</v>
      </c>
      <c r="B127" s="1" t="s">
        <v>133</v>
      </c>
      <c r="C127" s="2">
        <v>4461</v>
      </c>
      <c r="D127" s="1">
        <v>921</v>
      </c>
      <c r="E127" s="2">
        <v>1000</v>
      </c>
      <c r="F127" s="1">
        <v>815</v>
      </c>
      <c r="G127" s="1">
        <v>167</v>
      </c>
      <c r="H127" s="1">
        <v>59</v>
      </c>
      <c r="I127" s="1">
        <v>55</v>
      </c>
      <c r="J127" t="str">
        <f t="shared" si="1"/>
        <v>Outlier Atas</v>
      </c>
    </row>
    <row r="128" spans="1:10" x14ac:dyDescent="0.2">
      <c r="A128" s="1">
        <v>125</v>
      </c>
      <c r="B128" s="1" t="s">
        <v>134</v>
      </c>
      <c r="C128" s="2">
        <v>4456</v>
      </c>
      <c r="D128" s="1">
        <v>562</v>
      </c>
      <c r="E128" s="1">
        <v>928</v>
      </c>
      <c r="F128" s="1">
        <v>723</v>
      </c>
      <c r="G128" s="1">
        <v>527</v>
      </c>
      <c r="H128" s="1">
        <v>166</v>
      </c>
      <c r="I128" s="1">
        <v>143</v>
      </c>
      <c r="J128" t="str">
        <f t="shared" si="1"/>
        <v>Outlier Atas</v>
      </c>
    </row>
    <row r="129" spans="1:10" x14ac:dyDescent="0.2">
      <c r="A129" s="1">
        <v>126</v>
      </c>
      <c r="B129" s="1" t="s">
        <v>135</v>
      </c>
      <c r="C129" s="2">
        <v>4437</v>
      </c>
      <c r="D129" s="2">
        <v>1043</v>
      </c>
      <c r="E129" s="1">
        <v>980</v>
      </c>
      <c r="F129" s="1">
        <v>574</v>
      </c>
      <c r="G129" s="1">
        <v>241</v>
      </c>
      <c r="H129" s="1">
        <v>148</v>
      </c>
      <c r="I129" s="1">
        <v>89</v>
      </c>
      <c r="J129" t="str">
        <f t="shared" si="1"/>
        <v>Outlier Atas</v>
      </c>
    </row>
    <row r="130" spans="1:10" x14ac:dyDescent="0.2">
      <c r="A130" s="1">
        <v>127</v>
      </c>
      <c r="B130" s="1" t="s">
        <v>136</v>
      </c>
      <c r="C130" s="2">
        <v>4418</v>
      </c>
      <c r="D130" s="1">
        <v>94</v>
      </c>
      <c r="E130" s="2">
        <v>1125</v>
      </c>
      <c r="F130" s="1">
        <v>357</v>
      </c>
      <c r="G130" s="1">
        <v>269</v>
      </c>
      <c r="H130" s="1">
        <v>212</v>
      </c>
      <c r="I130" s="1">
        <v>53</v>
      </c>
      <c r="J130" t="str">
        <f t="shared" si="1"/>
        <v>Outlier Atas</v>
      </c>
    </row>
    <row r="131" spans="1:10" x14ac:dyDescent="0.2">
      <c r="A131" s="1">
        <v>128</v>
      </c>
      <c r="B131" s="1" t="s">
        <v>137</v>
      </c>
      <c r="C131" s="2">
        <v>4390</v>
      </c>
      <c r="D131" s="1">
        <v>385</v>
      </c>
      <c r="E131" s="2">
        <v>1105</v>
      </c>
      <c r="F131" s="1">
        <v>308</v>
      </c>
      <c r="G131" s="1">
        <v>327</v>
      </c>
      <c r="H131" s="1">
        <v>153</v>
      </c>
      <c r="I131" s="1">
        <v>52</v>
      </c>
      <c r="J131" t="str">
        <f t="shared" si="1"/>
        <v>Outlier Atas</v>
      </c>
    </row>
    <row r="132" spans="1:10" x14ac:dyDescent="0.2">
      <c r="A132" s="1">
        <v>129</v>
      </c>
      <c r="B132" s="1" t="s">
        <v>138</v>
      </c>
      <c r="C132" s="2">
        <v>4374</v>
      </c>
      <c r="D132" s="1">
        <v>268</v>
      </c>
      <c r="E132" s="1">
        <v>841</v>
      </c>
      <c r="F132" s="1">
        <v>242</v>
      </c>
      <c r="G132" s="1">
        <v>309</v>
      </c>
      <c r="H132" s="1">
        <v>252</v>
      </c>
      <c r="I132" s="1">
        <v>45</v>
      </c>
      <c r="J132" t="str">
        <f t="shared" si="1"/>
        <v>Outlier Atas</v>
      </c>
    </row>
    <row r="133" spans="1:10" x14ac:dyDescent="0.2">
      <c r="A133" s="1">
        <v>130</v>
      </c>
      <c r="B133" s="1" t="s">
        <v>139</v>
      </c>
      <c r="C133" s="2">
        <v>4366</v>
      </c>
      <c r="D133" s="1">
        <v>949</v>
      </c>
      <c r="E133" s="2">
        <v>1265</v>
      </c>
      <c r="F133" s="1">
        <v>831</v>
      </c>
      <c r="G133" s="1">
        <v>470</v>
      </c>
      <c r="H133" s="1">
        <v>244</v>
      </c>
      <c r="I133" s="1">
        <v>47</v>
      </c>
      <c r="J133" t="str">
        <f t="shared" ref="J133:J159" si="2">IF(C133 &lt; L203, "Outlier Bawah", IF(C133 &gt; L204, "Outlier Atas", "Normal"))</f>
        <v>Outlier Atas</v>
      </c>
    </row>
    <row r="134" spans="1:10" x14ac:dyDescent="0.2">
      <c r="A134" s="1">
        <v>131</v>
      </c>
      <c r="B134" s="1" t="s">
        <v>140</v>
      </c>
      <c r="C134" s="2">
        <v>4360</v>
      </c>
      <c r="D134" s="1">
        <v>710</v>
      </c>
      <c r="E134" s="2">
        <v>1181</v>
      </c>
      <c r="F134" s="1">
        <v>555</v>
      </c>
      <c r="G134" s="1">
        <v>525</v>
      </c>
      <c r="H134" s="1">
        <v>566</v>
      </c>
      <c r="I134" s="1">
        <v>172</v>
      </c>
      <c r="J134" t="str">
        <f t="shared" si="2"/>
        <v>Outlier Atas</v>
      </c>
    </row>
    <row r="135" spans="1:10" x14ac:dyDescent="0.2">
      <c r="A135" s="1">
        <v>132</v>
      </c>
      <c r="B135" s="1" t="s">
        <v>141</v>
      </c>
      <c r="C135" s="2">
        <v>4350</v>
      </c>
      <c r="D135" s="1">
        <v>350</v>
      </c>
      <c r="E135" s="1">
        <v>766</v>
      </c>
      <c r="F135" s="1">
        <v>192</v>
      </c>
      <c r="G135" s="1">
        <v>174</v>
      </c>
      <c r="H135" s="1">
        <v>198</v>
      </c>
      <c r="I135" s="1">
        <v>78</v>
      </c>
      <c r="J135" t="str">
        <f t="shared" si="2"/>
        <v>Outlier Atas</v>
      </c>
    </row>
    <row r="136" spans="1:10" x14ac:dyDescent="0.2">
      <c r="A136" s="1">
        <v>133</v>
      </c>
      <c r="B136" s="1" t="s">
        <v>142</v>
      </c>
      <c r="C136" s="2">
        <v>4332</v>
      </c>
      <c r="D136" s="1">
        <v>820</v>
      </c>
      <c r="E136" s="2">
        <v>1390</v>
      </c>
      <c r="F136" s="1">
        <v>739</v>
      </c>
      <c r="G136" s="1">
        <v>178</v>
      </c>
      <c r="H136" s="1">
        <v>187</v>
      </c>
      <c r="I136" s="1">
        <v>10</v>
      </c>
      <c r="J136" t="str">
        <f t="shared" si="2"/>
        <v>Outlier Atas</v>
      </c>
    </row>
    <row r="137" spans="1:10" x14ac:dyDescent="0.2">
      <c r="A137" s="1">
        <v>134</v>
      </c>
      <c r="B137" s="1" t="s">
        <v>143</v>
      </c>
      <c r="C137" s="2">
        <v>4286</v>
      </c>
      <c r="D137" s="1">
        <v>336</v>
      </c>
      <c r="E137" s="2">
        <v>1033</v>
      </c>
      <c r="F137" s="1">
        <v>532</v>
      </c>
      <c r="G137" s="1">
        <v>344</v>
      </c>
      <c r="H137" s="1">
        <v>209</v>
      </c>
      <c r="I137" s="1">
        <v>100</v>
      </c>
      <c r="J137" t="str">
        <f t="shared" si="2"/>
        <v>Outlier Atas</v>
      </c>
    </row>
    <row r="138" spans="1:10" x14ac:dyDescent="0.2">
      <c r="A138" s="1">
        <v>135</v>
      </c>
      <c r="B138" s="1" t="s">
        <v>144</v>
      </c>
      <c r="C138" s="2">
        <v>4212</v>
      </c>
      <c r="D138" s="1">
        <v>811</v>
      </c>
      <c r="E138" s="2">
        <v>1149</v>
      </c>
      <c r="F138" s="1">
        <v>0</v>
      </c>
      <c r="G138" s="1">
        <v>313</v>
      </c>
      <c r="H138" s="1">
        <v>74</v>
      </c>
      <c r="I138" s="1">
        <v>135</v>
      </c>
      <c r="J138" t="str">
        <f t="shared" si="2"/>
        <v>Outlier Atas</v>
      </c>
    </row>
    <row r="139" spans="1:10" x14ac:dyDescent="0.2">
      <c r="A139" s="1">
        <v>136</v>
      </c>
      <c r="B139" s="1" t="s">
        <v>145</v>
      </c>
      <c r="C139" s="2">
        <v>4189</v>
      </c>
      <c r="D139" s="1">
        <v>332</v>
      </c>
      <c r="E139" s="2">
        <v>1069</v>
      </c>
      <c r="F139" s="1">
        <v>443</v>
      </c>
      <c r="G139" s="1">
        <v>356</v>
      </c>
      <c r="H139" s="1">
        <v>252</v>
      </c>
      <c r="I139" s="1">
        <v>60</v>
      </c>
      <c r="J139" t="str">
        <f t="shared" si="2"/>
        <v>Outlier Atas</v>
      </c>
    </row>
    <row r="140" spans="1:10" x14ac:dyDescent="0.2">
      <c r="A140" s="1">
        <v>137</v>
      </c>
      <c r="B140" s="1" t="s">
        <v>146</v>
      </c>
      <c r="C140" s="2">
        <v>4166</v>
      </c>
      <c r="D140" s="1">
        <v>913</v>
      </c>
      <c r="E140" s="2">
        <v>1039</v>
      </c>
      <c r="F140" s="1">
        <v>644</v>
      </c>
      <c r="G140" s="1">
        <v>241</v>
      </c>
      <c r="H140" s="1">
        <v>76</v>
      </c>
      <c r="I140" s="1">
        <v>67</v>
      </c>
      <c r="J140" t="str">
        <f t="shared" si="2"/>
        <v>Outlier Atas</v>
      </c>
    </row>
    <row r="141" spans="1:10" x14ac:dyDescent="0.2">
      <c r="A141" s="1">
        <v>138</v>
      </c>
      <c r="B141" s="1" t="s">
        <v>147</v>
      </c>
      <c r="C141" s="2">
        <v>4107</v>
      </c>
      <c r="D141" s="1">
        <v>578</v>
      </c>
      <c r="E141" s="2">
        <v>1058</v>
      </c>
      <c r="F141" s="1">
        <v>426</v>
      </c>
      <c r="G141" s="1">
        <v>431</v>
      </c>
      <c r="H141" s="1">
        <v>247</v>
      </c>
      <c r="I141" s="1">
        <v>87</v>
      </c>
      <c r="J141" t="str">
        <f t="shared" si="2"/>
        <v>Outlier Atas</v>
      </c>
    </row>
    <row r="142" spans="1:10" x14ac:dyDescent="0.2">
      <c r="A142" s="1">
        <v>139</v>
      </c>
      <c r="B142" s="1" t="s">
        <v>148</v>
      </c>
      <c r="C142" s="2">
        <v>4085</v>
      </c>
      <c r="D142" s="1">
        <v>275</v>
      </c>
      <c r="E142" s="1">
        <v>572</v>
      </c>
      <c r="F142" s="1">
        <v>410</v>
      </c>
      <c r="G142" s="1">
        <v>293</v>
      </c>
      <c r="H142" s="1">
        <v>177</v>
      </c>
      <c r="I142" s="1">
        <v>85</v>
      </c>
      <c r="J142" t="str">
        <f t="shared" si="2"/>
        <v>Outlier Atas</v>
      </c>
    </row>
    <row r="143" spans="1:10" x14ac:dyDescent="0.2">
      <c r="A143" s="1">
        <v>140</v>
      </c>
      <c r="B143" s="1" t="s">
        <v>149</v>
      </c>
      <c r="C143" s="2">
        <v>4015</v>
      </c>
      <c r="D143" s="1">
        <v>755</v>
      </c>
      <c r="E143" s="1">
        <v>765</v>
      </c>
      <c r="F143" s="1">
        <v>588</v>
      </c>
      <c r="G143" s="1">
        <v>498</v>
      </c>
      <c r="H143" s="1">
        <v>200</v>
      </c>
      <c r="I143" s="1">
        <v>85</v>
      </c>
      <c r="J143" t="str">
        <f t="shared" si="2"/>
        <v>Outlier Atas</v>
      </c>
    </row>
    <row r="144" spans="1:10" x14ac:dyDescent="0.2">
      <c r="A144" s="1">
        <v>141</v>
      </c>
      <c r="B144" s="1" t="s">
        <v>150</v>
      </c>
      <c r="C144" s="2">
        <v>3975</v>
      </c>
      <c r="D144" s="1">
        <v>73</v>
      </c>
      <c r="E144" s="1">
        <v>922</v>
      </c>
      <c r="F144" s="1">
        <v>443</v>
      </c>
      <c r="G144" s="1">
        <v>370</v>
      </c>
      <c r="H144" s="1">
        <v>233</v>
      </c>
      <c r="I144" s="1">
        <v>33</v>
      </c>
      <c r="J144" t="str">
        <f t="shared" si="2"/>
        <v>Outlier Atas</v>
      </c>
    </row>
    <row r="145" spans="1:10" x14ac:dyDescent="0.2">
      <c r="A145" s="1">
        <v>142</v>
      </c>
      <c r="B145" s="1" t="s">
        <v>151</v>
      </c>
      <c r="C145" s="2">
        <v>3973</v>
      </c>
      <c r="D145" s="1">
        <v>274</v>
      </c>
      <c r="E145" s="1">
        <v>757</v>
      </c>
      <c r="F145" s="1">
        <v>505</v>
      </c>
      <c r="G145" s="1">
        <v>142</v>
      </c>
      <c r="H145" s="1">
        <v>275</v>
      </c>
      <c r="I145" s="1">
        <v>78</v>
      </c>
      <c r="J145" t="str">
        <f t="shared" si="2"/>
        <v>Outlier Atas</v>
      </c>
    </row>
    <row r="146" spans="1:10" x14ac:dyDescent="0.2">
      <c r="A146" s="1">
        <v>143</v>
      </c>
      <c r="B146" s="1" t="s">
        <v>152</v>
      </c>
      <c r="C146" s="2">
        <v>3933</v>
      </c>
      <c r="D146" s="1">
        <v>274</v>
      </c>
      <c r="E146" s="1">
        <v>916</v>
      </c>
      <c r="F146" s="1">
        <v>555</v>
      </c>
      <c r="G146" s="1">
        <v>148</v>
      </c>
      <c r="H146" s="1">
        <v>169</v>
      </c>
      <c r="I146" s="1">
        <v>41</v>
      </c>
      <c r="J146" t="str">
        <f t="shared" si="2"/>
        <v>Outlier Atas</v>
      </c>
    </row>
    <row r="147" spans="1:10" x14ac:dyDescent="0.2">
      <c r="A147" s="1">
        <v>144</v>
      </c>
      <c r="B147" s="1" t="s">
        <v>153</v>
      </c>
      <c r="C147" s="2">
        <v>3802</v>
      </c>
      <c r="D147" s="1">
        <v>489</v>
      </c>
      <c r="E147" s="2">
        <v>1169</v>
      </c>
      <c r="F147" s="1">
        <v>168</v>
      </c>
      <c r="G147" s="1">
        <v>359</v>
      </c>
      <c r="H147" s="1">
        <v>107</v>
      </c>
      <c r="I147" s="1">
        <v>93</v>
      </c>
      <c r="J147" t="str">
        <f t="shared" si="2"/>
        <v>Outlier Atas</v>
      </c>
    </row>
    <row r="148" spans="1:10" x14ac:dyDescent="0.2">
      <c r="A148" s="1">
        <v>145</v>
      </c>
      <c r="B148" s="1" t="s">
        <v>154</v>
      </c>
      <c r="C148" s="2">
        <v>3775</v>
      </c>
      <c r="D148" s="1">
        <v>46</v>
      </c>
      <c r="E148" s="1">
        <v>447</v>
      </c>
      <c r="F148" s="1">
        <v>380</v>
      </c>
      <c r="G148" s="1">
        <v>220</v>
      </c>
      <c r="H148" s="1">
        <v>176</v>
      </c>
      <c r="I148" s="1">
        <v>180</v>
      </c>
      <c r="J148" t="str">
        <f t="shared" si="2"/>
        <v>Outlier Atas</v>
      </c>
    </row>
    <row r="149" spans="1:10" x14ac:dyDescent="0.2">
      <c r="A149" s="1">
        <v>146</v>
      </c>
      <c r="B149" s="1" t="s">
        <v>155</v>
      </c>
      <c r="C149" s="2">
        <v>3663</v>
      </c>
      <c r="D149" s="1">
        <v>366</v>
      </c>
      <c r="E149" s="2">
        <v>1114</v>
      </c>
      <c r="F149" s="1">
        <v>433</v>
      </c>
      <c r="G149" s="1">
        <v>361</v>
      </c>
      <c r="H149" s="1">
        <v>151</v>
      </c>
      <c r="I149" s="1">
        <v>89</v>
      </c>
      <c r="J149" t="str">
        <f t="shared" si="2"/>
        <v>Outlier Atas</v>
      </c>
    </row>
    <row r="150" spans="1:10" x14ac:dyDescent="0.2">
      <c r="A150" s="1">
        <v>147</v>
      </c>
      <c r="B150" s="1" t="s">
        <v>156</v>
      </c>
      <c r="C150" s="2">
        <v>3597</v>
      </c>
      <c r="D150" s="1">
        <v>323</v>
      </c>
      <c r="E150" s="1">
        <v>688</v>
      </c>
      <c r="F150" s="1">
        <v>449</v>
      </c>
      <c r="G150" s="1">
        <v>26</v>
      </c>
      <c r="H150" s="1">
        <v>419</v>
      </c>
      <c r="I150" s="1">
        <v>110</v>
      </c>
      <c r="J150" t="str">
        <f t="shared" si="2"/>
        <v>Outlier Atas</v>
      </c>
    </row>
    <row r="151" spans="1:10" x14ac:dyDescent="0.2">
      <c r="A151" s="1">
        <v>148</v>
      </c>
      <c r="B151" s="1" t="s">
        <v>157</v>
      </c>
      <c r="C151" s="2">
        <v>3488</v>
      </c>
      <c r="D151" s="2">
        <v>1041</v>
      </c>
      <c r="E151" s="2">
        <v>1145</v>
      </c>
      <c r="F151" s="1">
        <v>538</v>
      </c>
      <c r="G151" s="1">
        <v>455</v>
      </c>
      <c r="H151" s="1">
        <v>25</v>
      </c>
      <c r="I151" s="1">
        <v>100</v>
      </c>
      <c r="J151" t="str">
        <f t="shared" si="2"/>
        <v>Outlier Atas</v>
      </c>
    </row>
    <row r="152" spans="1:10" x14ac:dyDescent="0.2">
      <c r="A152" s="1">
        <v>149</v>
      </c>
      <c r="B152" s="1" t="s">
        <v>158</v>
      </c>
      <c r="C152" s="2">
        <v>3462</v>
      </c>
      <c r="D152" s="1">
        <v>619</v>
      </c>
      <c r="E152" s="1">
        <v>378</v>
      </c>
      <c r="F152" s="1">
        <v>440</v>
      </c>
      <c r="G152" s="1">
        <v>13</v>
      </c>
      <c r="H152" s="1">
        <v>331</v>
      </c>
      <c r="I152" s="1">
        <v>141</v>
      </c>
      <c r="J152" t="str">
        <f t="shared" si="2"/>
        <v>Outlier Atas</v>
      </c>
    </row>
    <row r="153" spans="1:10" x14ac:dyDescent="0.2">
      <c r="A153" s="1">
        <v>150</v>
      </c>
      <c r="B153" s="1" t="s">
        <v>159</v>
      </c>
      <c r="C153" s="2">
        <v>3410</v>
      </c>
      <c r="D153" s="1">
        <v>191</v>
      </c>
      <c r="E153" s="1">
        <v>560</v>
      </c>
      <c r="F153" s="1">
        <v>495</v>
      </c>
      <c r="G153" s="1">
        <v>443</v>
      </c>
      <c r="H153" s="1">
        <v>218</v>
      </c>
      <c r="I153" s="1">
        <v>89</v>
      </c>
      <c r="J153" t="str">
        <f t="shared" si="2"/>
        <v>Outlier Atas</v>
      </c>
    </row>
    <row r="154" spans="1:10" x14ac:dyDescent="0.2">
      <c r="A154" s="1">
        <v>151</v>
      </c>
      <c r="B154" s="1" t="s">
        <v>160</v>
      </c>
      <c r="C154" s="2">
        <v>3380</v>
      </c>
      <c r="D154" s="1">
        <v>287</v>
      </c>
      <c r="E154" s="2">
        <v>1163</v>
      </c>
      <c r="F154" s="1">
        <v>463</v>
      </c>
      <c r="G154" s="1">
        <v>143</v>
      </c>
      <c r="H154" s="1">
        <v>108</v>
      </c>
      <c r="I154" s="1">
        <v>77</v>
      </c>
      <c r="J154" t="str">
        <f t="shared" si="2"/>
        <v>Outlier Atas</v>
      </c>
    </row>
    <row r="155" spans="1:10" x14ac:dyDescent="0.2">
      <c r="A155" s="1">
        <v>152</v>
      </c>
      <c r="B155" s="1" t="s">
        <v>161</v>
      </c>
      <c r="C155" s="2">
        <v>3334</v>
      </c>
      <c r="D155" s="1">
        <v>359</v>
      </c>
      <c r="E155" s="1">
        <v>711</v>
      </c>
      <c r="F155" s="1">
        <v>614</v>
      </c>
      <c r="G155" s="1">
        <v>555</v>
      </c>
      <c r="H155" s="1">
        <v>217</v>
      </c>
      <c r="I155" s="1">
        <v>411</v>
      </c>
      <c r="J155" t="str">
        <f t="shared" si="2"/>
        <v>Outlier Atas</v>
      </c>
    </row>
    <row r="156" spans="1:10" x14ac:dyDescent="0.2">
      <c r="A156" s="1">
        <v>153</v>
      </c>
      <c r="B156" s="1" t="s">
        <v>162</v>
      </c>
      <c r="C156" s="2">
        <v>3231</v>
      </c>
      <c r="D156" s="1">
        <v>476</v>
      </c>
      <c r="E156" s="1">
        <v>885</v>
      </c>
      <c r="F156" s="1">
        <v>499</v>
      </c>
      <c r="G156" s="1">
        <v>417</v>
      </c>
      <c r="H156" s="1">
        <v>276</v>
      </c>
      <c r="I156" s="1">
        <v>147</v>
      </c>
      <c r="J156" t="str">
        <f t="shared" si="2"/>
        <v>Outlier Atas</v>
      </c>
    </row>
    <row r="157" spans="1:10" x14ac:dyDescent="0.2">
      <c r="A157" s="1">
        <v>154</v>
      </c>
      <c r="B157" s="1" t="s">
        <v>163</v>
      </c>
      <c r="C157" s="2">
        <v>3203</v>
      </c>
      <c r="D157" s="1">
        <v>350</v>
      </c>
      <c r="E157" s="1">
        <v>517</v>
      </c>
      <c r="F157" s="1">
        <v>361</v>
      </c>
      <c r="G157" s="1">
        <v>0</v>
      </c>
      <c r="H157" s="1">
        <v>158</v>
      </c>
      <c r="I157" s="1">
        <v>25</v>
      </c>
      <c r="J157" t="str">
        <f t="shared" si="2"/>
        <v>Outlier Atas</v>
      </c>
    </row>
    <row r="158" spans="1:10" x14ac:dyDescent="0.2">
      <c r="A158" s="1">
        <v>155</v>
      </c>
      <c r="B158" s="1" t="s">
        <v>164</v>
      </c>
      <c r="C158" s="2">
        <v>3083</v>
      </c>
      <c r="D158" s="1">
        <v>26</v>
      </c>
      <c r="E158" s="1">
        <v>0</v>
      </c>
      <c r="F158" s="1">
        <v>105</v>
      </c>
      <c r="G158" s="1">
        <v>225</v>
      </c>
      <c r="H158" s="1">
        <v>235</v>
      </c>
      <c r="I158" s="1">
        <v>35</v>
      </c>
      <c r="J158" t="str">
        <f t="shared" si="2"/>
        <v>Outlier Atas</v>
      </c>
    </row>
    <row r="159" spans="1:10" x14ac:dyDescent="0.2">
      <c r="A159" s="1">
        <v>156</v>
      </c>
      <c r="B159" s="1" t="s">
        <v>165</v>
      </c>
      <c r="C159" s="2">
        <v>2853</v>
      </c>
      <c r="D159" s="1">
        <v>306</v>
      </c>
      <c r="E159" s="1">
        <v>575</v>
      </c>
      <c r="F159" s="1">
        <v>295</v>
      </c>
      <c r="G159" s="1">
        <v>10</v>
      </c>
      <c r="H159" s="1">
        <v>202</v>
      </c>
      <c r="I159" s="1">
        <v>91</v>
      </c>
      <c r="J159" t="str">
        <f t="shared" si="2"/>
        <v>Outlier Atas</v>
      </c>
    </row>
  </sheetData>
  <mergeCells count="51">
    <mergeCell ref="A1:I2"/>
    <mergeCell ref="K1:O2"/>
    <mergeCell ref="K4:O5"/>
    <mergeCell ref="K14:O15"/>
    <mergeCell ref="L6:O6"/>
    <mergeCell ref="L7:O7"/>
    <mergeCell ref="L8:O8"/>
    <mergeCell ref="K24:O25"/>
    <mergeCell ref="L9:O9"/>
    <mergeCell ref="L10:O10"/>
    <mergeCell ref="L11:O11"/>
    <mergeCell ref="L12:O12"/>
    <mergeCell ref="L16:O16"/>
    <mergeCell ref="L17:O17"/>
    <mergeCell ref="L18:O18"/>
    <mergeCell ref="L19:O19"/>
    <mergeCell ref="L20:O20"/>
    <mergeCell ref="L21:O21"/>
    <mergeCell ref="L22:O22"/>
    <mergeCell ref="K34:O35"/>
    <mergeCell ref="K37:O38"/>
    <mergeCell ref="L39:O39"/>
    <mergeCell ref="L40:O40"/>
    <mergeCell ref="M26:N26"/>
    <mergeCell ref="M27:N27"/>
    <mergeCell ref="M28:N28"/>
    <mergeCell ref="M29:N29"/>
    <mergeCell ref="M30:N30"/>
    <mergeCell ref="M31:N31"/>
    <mergeCell ref="M32:N32"/>
    <mergeCell ref="L59:O59"/>
    <mergeCell ref="L44:O44"/>
    <mergeCell ref="L45:O45"/>
    <mergeCell ref="K42:O43"/>
    <mergeCell ref="K47:O48"/>
    <mergeCell ref="L49:O49"/>
    <mergeCell ref="L50:O50"/>
    <mergeCell ref="K52:O53"/>
    <mergeCell ref="L54:O54"/>
    <mergeCell ref="L55:O55"/>
    <mergeCell ref="K57:O58"/>
    <mergeCell ref="L70:O70"/>
    <mergeCell ref="K72:O73"/>
    <mergeCell ref="M74:O75"/>
    <mergeCell ref="M77:O78"/>
    <mergeCell ref="L60:O60"/>
    <mergeCell ref="K62:O63"/>
    <mergeCell ref="L64:O64"/>
    <mergeCell ref="L65:O65"/>
    <mergeCell ref="K67:O68"/>
    <mergeCell ref="L69:O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 Cahyo</dc:creator>
  <cp:lastModifiedBy>Khen Cahyo</cp:lastModifiedBy>
  <dcterms:created xsi:type="dcterms:W3CDTF">2025-03-05T06:50:50Z</dcterms:created>
  <dcterms:modified xsi:type="dcterms:W3CDTF">2025-03-05T09:04:11Z</dcterms:modified>
</cp:coreProperties>
</file>